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EUR\waterwegregio\"/>
    </mc:Choice>
  </mc:AlternateContent>
  <xr:revisionPtr revIDLastSave="0" documentId="13_ncr:1_{57313805-88BF-4470-A3E1-6F7211F26D3C}" xr6:coauthVersionLast="47" xr6:coauthVersionMax="47" xr10:uidLastSave="{00000000-0000-0000-0000-000000000000}"/>
  <bookViews>
    <workbookView xWindow="28680" yWindow="-120" windowWidth="29040" windowHeight="15720" xr2:uid="{C2334A5E-B142-48DB-857C-E256330C746A}"/>
  </bookViews>
  <sheets>
    <sheet name="Sheet1" sheetId="1" r:id="rId1"/>
  </sheets>
  <definedNames>
    <definedName name="_xlnm._FilterDatabase" localSheetId="0" hidden="1">Sheet1!$A$1:$DP$1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6" i="1" l="1"/>
  <c r="R6" i="1"/>
  <c r="R7" i="1"/>
  <c r="R8" i="1"/>
  <c r="R9" i="1"/>
  <c r="R10" i="1"/>
  <c r="R12" i="1"/>
  <c r="R13" i="1"/>
  <c r="R15" i="1"/>
  <c r="R16" i="1"/>
  <c r="R17" i="1"/>
  <c r="R19" i="1"/>
  <c r="R20" i="1"/>
  <c r="R21" i="1"/>
  <c r="R22" i="1"/>
  <c r="R23" i="1"/>
  <c r="R25" i="1"/>
  <c r="R26" i="1"/>
  <c r="R27" i="1"/>
  <c r="R28" i="1"/>
  <c r="R29" i="1"/>
  <c r="R30" i="1"/>
  <c r="R31" i="1"/>
  <c r="R32" i="1"/>
  <c r="R33" i="1"/>
  <c r="R34" i="1"/>
  <c r="R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5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Q36" i="1"/>
  <c r="P36" i="1"/>
  <c r="O36" i="1"/>
  <c r="N36" i="1"/>
  <c r="M36" i="1"/>
  <c r="L36" i="1"/>
  <c r="K36" i="1"/>
  <c r="J36" i="1"/>
  <c r="I36" i="1"/>
  <c r="H36" i="1"/>
  <c r="G36" i="1"/>
  <c r="AJ6" i="1"/>
  <c r="AJ7" i="1"/>
  <c r="AJ8" i="1"/>
  <c r="AJ9" i="1"/>
  <c r="AJ10" i="1"/>
  <c r="AJ12" i="1"/>
  <c r="AJ13" i="1"/>
  <c r="AJ15" i="1"/>
  <c r="AJ16" i="1"/>
  <c r="AJ17" i="1"/>
  <c r="AJ19" i="1"/>
  <c r="AJ20" i="1"/>
  <c r="AJ22" i="1"/>
  <c r="AJ28" i="1"/>
  <c r="AJ29" i="1"/>
  <c r="AJ30" i="1"/>
  <c r="AJ31" i="1"/>
  <c r="AJ32" i="1"/>
  <c r="AJ33" i="1"/>
  <c r="AJ34" i="1"/>
  <c r="AJ5" i="1"/>
  <c r="AI5" i="1"/>
  <c r="AI6" i="1"/>
  <c r="AI7" i="1"/>
  <c r="AI8" i="1"/>
  <c r="AI9" i="1"/>
  <c r="AI10" i="1"/>
  <c r="AI12" i="1"/>
  <c r="AI13" i="1"/>
  <c r="AI15" i="1"/>
  <c r="AI16" i="1"/>
  <c r="AI17" i="1"/>
  <c r="AI19" i="1"/>
  <c r="AI20" i="1"/>
  <c r="AI22" i="1"/>
  <c r="AI28" i="1"/>
  <c r="AI29" i="1"/>
  <c r="AI30" i="1"/>
  <c r="AI31" i="1"/>
  <c r="AI32" i="1"/>
  <c r="AI33" i="1"/>
  <c r="AI34" i="1"/>
  <c r="DL36" i="1"/>
  <c r="CG36" i="1"/>
  <c r="CA36" i="1"/>
  <c r="AT36" i="1"/>
  <c r="AU36" i="1"/>
  <c r="AV36" i="1"/>
  <c r="AW36" i="1"/>
  <c r="AX36" i="1"/>
  <c r="AY36" i="1"/>
  <c r="AZ36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9" i="1"/>
  <c r="BF20" i="1"/>
  <c r="BF21" i="1"/>
  <c r="BF22" i="1"/>
  <c r="BF23" i="1"/>
  <c r="BF25" i="1"/>
  <c r="BF26" i="1"/>
  <c r="BF27" i="1"/>
  <c r="BF28" i="1"/>
  <c r="BF29" i="1"/>
  <c r="BF30" i="1"/>
  <c r="BF31" i="1"/>
  <c r="BF32" i="1"/>
  <c r="BF33" i="1"/>
  <c r="BF34" i="1"/>
  <c r="BF5" i="1"/>
  <c r="BB36" i="1"/>
  <c r="BC36" i="1"/>
  <c r="BD36" i="1"/>
  <c r="BA36" i="1"/>
  <c r="BJ36" i="1"/>
  <c r="BK36" i="1"/>
  <c r="BL36" i="1"/>
  <c r="BM36" i="1"/>
  <c r="BN36" i="1"/>
  <c r="BH36" i="1"/>
  <c r="BI36" i="1"/>
  <c r="BG36" i="1"/>
  <c r="BL37" i="1" l="1"/>
  <c r="BN37" i="1"/>
  <c r="BM37" i="1"/>
  <c r="BK37" i="1"/>
  <c r="BJ37" i="1"/>
  <c r="BO37" i="1" l="1"/>
  <c r="BL38" i="1"/>
  <c r="BJ38" i="1"/>
</calcChain>
</file>

<file path=xl/sharedStrings.xml><?xml version="1.0" encoding="utf-8"?>
<sst xmlns="http://schemas.openxmlformats.org/spreadsheetml/2006/main" count="1169" uniqueCount="619">
  <si>
    <t>gwb_code_10</t>
  </si>
  <si>
    <t>gwb_code_8</t>
  </si>
  <si>
    <t>gm_naam</t>
  </si>
  <si>
    <t>recs</t>
  </si>
  <si>
    <t>gwb_code</t>
  </si>
  <si>
    <t>a_inw</t>
  </si>
  <si>
    <t>a_man</t>
  </si>
  <si>
    <t>a_vrouw</t>
  </si>
  <si>
    <t>a_00_14</t>
  </si>
  <si>
    <t>a_15_24</t>
  </si>
  <si>
    <t>a_25_44</t>
  </si>
  <si>
    <t>a_45_64</t>
  </si>
  <si>
    <t>a_65_oo</t>
  </si>
  <si>
    <t>a_ongeh</t>
  </si>
  <si>
    <t>a_gehuwd</t>
  </si>
  <si>
    <t>a_gesch</t>
  </si>
  <si>
    <t>a_verwed</t>
  </si>
  <si>
    <t>a_nl_all</t>
  </si>
  <si>
    <t>a_eur_al</t>
  </si>
  <si>
    <t>a_neu_al</t>
  </si>
  <si>
    <t>a_geb_nl</t>
  </si>
  <si>
    <t>a_geb_eu</t>
  </si>
  <si>
    <t>a_geb_ne</t>
  </si>
  <si>
    <t>a_gbl_eu</t>
  </si>
  <si>
    <t>a_gbl_ne</t>
  </si>
  <si>
    <t>a_hh</t>
  </si>
  <si>
    <t>a_1p_hh</t>
  </si>
  <si>
    <t>a_hh_z_k</t>
  </si>
  <si>
    <t>a_hh_m_k</t>
  </si>
  <si>
    <t>g_hhgro</t>
  </si>
  <si>
    <t>bev_dich</t>
  </si>
  <si>
    <t>a_woning</t>
  </si>
  <si>
    <t>a_vastg</t>
  </si>
  <si>
    <t>g_wozbag</t>
  </si>
  <si>
    <t>p_1gezw</t>
  </si>
  <si>
    <t>p_1gezw_tw</t>
  </si>
  <si>
    <t>p_1gezw_hw</t>
  </si>
  <si>
    <t>p_1gezw_2w</t>
  </si>
  <si>
    <t>p_1gezw_vw</t>
  </si>
  <si>
    <t>p_mgezw</t>
  </si>
  <si>
    <t>p_leegsw</t>
  </si>
  <si>
    <t>p_koopw</t>
  </si>
  <si>
    <t>p_huurw</t>
  </si>
  <si>
    <t>p_wcorpw</t>
  </si>
  <si>
    <t>p_ov_hw</t>
  </si>
  <si>
    <t>p_bj_me10</t>
  </si>
  <si>
    <t>p_bj_mi10</t>
  </si>
  <si>
    <t>a_bedv</t>
  </si>
  <si>
    <t>a_bed_a</t>
  </si>
  <si>
    <t>a_bed_bf</t>
  </si>
  <si>
    <t>a_bed_gi</t>
  </si>
  <si>
    <t>a_bed_hj</t>
  </si>
  <si>
    <t>a_bed_kl</t>
  </si>
  <si>
    <t>a_bed_mn</t>
  </si>
  <si>
    <t>a_bed_oq</t>
  </si>
  <si>
    <t>a_bed_ru</t>
  </si>
  <si>
    <t>a_pau</t>
  </si>
  <si>
    <t>a_bst_b</t>
  </si>
  <si>
    <t>a_bst_nb</t>
  </si>
  <si>
    <t>g_pau_hh</t>
  </si>
  <si>
    <t>g_pau_km</t>
  </si>
  <si>
    <t>a_m2w</t>
  </si>
  <si>
    <t>a_opp_ha</t>
  </si>
  <si>
    <t>a_lan_ha</t>
  </si>
  <si>
    <t>a_wat_ha</t>
  </si>
  <si>
    <t>ste_mvs</t>
  </si>
  <si>
    <t>ste_oad</t>
  </si>
  <si>
    <t>WK062208</t>
  </si>
  <si>
    <t>062208</t>
  </si>
  <si>
    <t>Broekpolder</t>
  </si>
  <si>
    <t>Vlaardingen</t>
  </si>
  <si>
    <t>Wijk</t>
  </si>
  <si>
    <t>.</t>
  </si>
  <si>
    <t>3</t>
  </si>
  <si>
    <t>5</t>
  </si>
  <si>
    <t>43</t>
  </si>
  <si>
    <t>0</t>
  </si>
  <si>
    <t>WK062201</t>
  </si>
  <si>
    <t>062201</t>
  </si>
  <si>
    <t>Centrum</t>
  </si>
  <si>
    <t>8959</t>
  </si>
  <si>
    <t>8018</t>
  </si>
  <si>
    <t>827</t>
  </si>
  <si>
    <t>255</t>
  </si>
  <si>
    <t>32</t>
  </si>
  <si>
    <t>24</t>
  </si>
  <si>
    <t>2</t>
  </si>
  <si>
    <t>68</t>
  </si>
  <si>
    <t>6</t>
  </si>
  <si>
    <t>48</t>
  </si>
  <si>
    <t>52</t>
  </si>
  <si>
    <t>35</t>
  </si>
  <si>
    <t>16</t>
  </si>
  <si>
    <t>97</t>
  </si>
  <si>
    <t>6470</t>
  </si>
  <si>
    <t>5430</t>
  </si>
  <si>
    <t>1040</t>
  </si>
  <si>
    <t>0,8</t>
  </si>
  <si>
    <t>3703</t>
  </si>
  <si>
    <t>505</t>
  </si>
  <si>
    <t>WK059903</t>
  </si>
  <si>
    <t>059903</t>
  </si>
  <si>
    <t>Delfshaven</t>
  </si>
  <si>
    <t>Rotterdam</t>
  </si>
  <si>
    <t>14985</t>
  </si>
  <si>
    <t>36139</t>
  </si>
  <si>
    <t>2978</t>
  </si>
  <si>
    <t>316</t>
  </si>
  <si>
    <t>4</t>
  </si>
  <si>
    <t>95</t>
  </si>
  <si>
    <t>27</t>
  </si>
  <si>
    <t>73</t>
  </si>
  <si>
    <t>25</t>
  </si>
  <si>
    <t>99</t>
  </si>
  <si>
    <t>1</t>
  </si>
  <si>
    <t>20250</t>
  </si>
  <si>
    <t>16305</t>
  </si>
  <si>
    <t>3945</t>
  </si>
  <si>
    <t>0,5</t>
  </si>
  <si>
    <t>3928</t>
  </si>
  <si>
    <t>1010</t>
  </si>
  <si>
    <t>WK062207</t>
  </si>
  <si>
    <t>062207</t>
  </si>
  <si>
    <t>Holy Noord</t>
  </si>
  <si>
    <t>3991</t>
  </si>
  <si>
    <t>6168</t>
  </si>
  <si>
    <t>245</t>
  </si>
  <si>
    <t>335</t>
  </si>
  <si>
    <t>13</t>
  </si>
  <si>
    <t>49</t>
  </si>
  <si>
    <t>51</t>
  </si>
  <si>
    <t>46</t>
  </si>
  <si>
    <t>6225</t>
  </si>
  <si>
    <t>5145</t>
  </si>
  <si>
    <t>1080</t>
  </si>
  <si>
    <t>1,0</t>
  </si>
  <si>
    <t>1871</t>
  </si>
  <si>
    <t>365</t>
  </si>
  <si>
    <t>WK062206</t>
  </si>
  <si>
    <t>062206</t>
  </si>
  <si>
    <t>Holy Zuid</t>
  </si>
  <si>
    <t>6206</t>
  </si>
  <si>
    <t>5865</t>
  </si>
  <si>
    <t>686</t>
  </si>
  <si>
    <t>310</t>
  </si>
  <si>
    <t>29</t>
  </si>
  <si>
    <t>20</t>
  </si>
  <si>
    <t>8</t>
  </si>
  <si>
    <t>71</t>
  </si>
  <si>
    <t>7</t>
  </si>
  <si>
    <t>65</t>
  </si>
  <si>
    <t>54</t>
  </si>
  <si>
    <t>11</t>
  </si>
  <si>
    <t>87</t>
  </si>
  <si>
    <t>4655</t>
  </si>
  <si>
    <t>3900</t>
  </si>
  <si>
    <t>755</t>
  </si>
  <si>
    <t>0,9</t>
  </si>
  <si>
    <t>2467</t>
  </si>
  <si>
    <t>220</t>
  </si>
  <si>
    <t>WK059919</t>
  </si>
  <si>
    <t>059919</t>
  </si>
  <si>
    <t>Nieuw Mathenesse</t>
  </si>
  <si>
    <t>1957</t>
  </si>
  <si>
    <t>865</t>
  </si>
  <si>
    <t>206</t>
  </si>
  <si>
    <t>232</t>
  </si>
  <si>
    <t>100</t>
  </si>
  <si>
    <t>380</t>
  </si>
  <si>
    <t>270</t>
  </si>
  <si>
    <t>110</t>
  </si>
  <si>
    <t>0,4</t>
  </si>
  <si>
    <t>10</t>
  </si>
  <si>
    <t>WK062204</t>
  </si>
  <si>
    <t>062204</t>
  </si>
  <si>
    <t>Oostwijk</t>
  </si>
  <si>
    <t>4148</t>
  </si>
  <si>
    <t>3610</t>
  </si>
  <si>
    <t>448</t>
  </si>
  <si>
    <t>311</t>
  </si>
  <si>
    <t>45</t>
  </si>
  <si>
    <t>26</t>
  </si>
  <si>
    <t>55</t>
  </si>
  <si>
    <t>59</t>
  </si>
  <si>
    <t>41</t>
  </si>
  <si>
    <t>30</t>
  </si>
  <si>
    <t>93</t>
  </si>
  <si>
    <t>3370</t>
  </si>
  <si>
    <t>2700</t>
  </si>
  <si>
    <t>670</t>
  </si>
  <si>
    <t>1849</t>
  </si>
  <si>
    <t>WK055603</t>
  </si>
  <si>
    <t>055603</t>
  </si>
  <si>
    <t>Sluispolder</t>
  </si>
  <si>
    <t>Maassluis</t>
  </si>
  <si>
    <t>6869</t>
  </si>
  <si>
    <t>3089</t>
  </si>
  <si>
    <t>510</t>
  </si>
  <si>
    <t>42</t>
  </si>
  <si>
    <t>31</t>
  </si>
  <si>
    <t>9</t>
  </si>
  <si>
    <t>58</t>
  </si>
  <si>
    <t>90</t>
  </si>
  <si>
    <t>2675</t>
  </si>
  <si>
    <t>2265</t>
  </si>
  <si>
    <t>410</t>
  </si>
  <si>
    <t>2995</t>
  </si>
  <si>
    <t>170</t>
  </si>
  <si>
    <t>WK059918</t>
  </si>
  <si>
    <t>059918</t>
  </si>
  <si>
    <t>Spaanse Polder</t>
  </si>
  <si>
    <t>38</t>
  </si>
  <si>
    <t>781</t>
  </si>
  <si>
    <t>480</t>
  </si>
  <si>
    <t>50</t>
  </si>
  <si>
    <t>33</t>
  </si>
  <si>
    <t>400</t>
  </si>
  <si>
    <t>465</t>
  </si>
  <si>
    <t>WK062203</t>
  </si>
  <si>
    <t>062203</t>
  </si>
  <si>
    <t>Vettenoordse Polder</t>
  </si>
  <si>
    <t>624</t>
  </si>
  <si>
    <t>1529</t>
  </si>
  <si>
    <t>917</t>
  </si>
  <si>
    <t>175</t>
  </si>
  <si>
    <t>84</t>
  </si>
  <si>
    <t>44</t>
  </si>
  <si>
    <t>56</t>
  </si>
  <si>
    <t>1505</t>
  </si>
  <si>
    <t>1020</t>
  </si>
  <si>
    <t>485</t>
  </si>
  <si>
    <t>355</t>
  </si>
  <si>
    <t>70</t>
  </si>
  <si>
    <t>WK062205</t>
  </si>
  <si>
    <t>062205</t>
  </si>
  <si>
    <t>Vlaardinger Ambacht</t>
  </si>
  <si>
    <t>6992</t>
  </si>
  <si>
    <t>5501</t>
  </si>
  <si>
    <t>404</t>
  </si>
  <si>
    <t>334</t>
  </si>
  <si>
    <t>39</t>
  </si>
  <si>
    <t>34</t>
  </si>
  <si>
    <t>5305</t>
  </si>
  <si>
    <t>4380</t>
  </si>
  <si>
    <t>925</t>
  </si>
  <si>
    <t>2911</t>
  </si>
  <si>
    <t>WK062202</t>
  </si>
  <si>
    <t>062202</t>
  </si>
  <si>
    <t>Westwijk</t>
  </si>
  <si>
    <t>3242</t>
  </si>
  <si>
    <t>6160</t>
  </si>
  <si>
    <t>867</t>
  </si>
  <si>
    <t>249</t>
  </si>
  <si>
    <t>17</t>
  </si>
  <si>
    <t>74</t>
  </si>
  <si>
    <t>57</t>
  </si>
  <si>
    <t>12</t>
  </si>
  <si>
    <t>94</t>
  </si>
  <si>
    <t>5235</t>
  </si>
  <si>
    <t>4320</t>
  </si>
  <si>
    <t>915</t>
  </si>
  <si>
    <t>1325</t>
  </si>
  <si>
    <t>WK060600</t>
  </si>
  <si>
    <t>060600</t>
  </si>
  <si>
    <t>Schiedam</t>
  </si>
  <si>
    <t>10071</t>
  </si>
  <si>
    <t>2948</t>
  </si>
  <si>
    <t>617</t>
  </si>
  <si>
    <t>327</t>
  </si>
  <si>
    <t>22</t>
  </si>
  <si>
    <t>78</t>
  </si>
  <si>
    <t>18</t>
  </si>
  <si>
    <t>2065</t>
  </si>
  <si>
    <t>1630</t>
  </si>
  <si>
    <t>435</t>
  </si>
  <si>
    <t>0,7</t>
  </si>
  <si>
    <t>3918</t>
  </si>
  <si>
    <t>185</t>
  </si>
  <si>
    <t>WK060601</t>
  </si>
  <si>
    <t>060601</t>
  </si>
  <si>
    <t>10089</t>
  </si>
  <si>
    <t>5399</t>
  </si>
  <si>
    <t>478</t>
  </si>
  <si>
    <t>244</t>
  </si>
  <si>
    <t>14</t>
  </si>
  <si>
    <t>83</t>
  </si>
  <si>
    <t>2975</t>
  </si>
  <si>
    <t>635</t>
  </si>
  <si>
    <t>0,6</t>
  </si>
  <si>
    <t>3170</t>
  </si>
  <si>
    <t>225</t>
  </si>
  <si>
    <t>WK055601</t>
  </si>
  <si>
    <t>055601</t>
  </si>
  <si>
    <t>6313</t>
  </si>
  <si>
    <t>1372</t>
  </si>
  <si>
    <t>142</t>
  </si>
  <si>
    <t>326</t>
  </si>
  <si>
    <t>80</t>
  </si>
  <si>
    <t>1380</t>
  </si>
  <si>
    <t>1135</t>
  </si>
  <si>
    <t>2989</t>
  </si>
  <si>
    <t>120</t>
  </si>
  <si>
    <t>WK055602</t>
  </si>
  <si>
    <t>055602</t>
  </si>
  <si>
    <t>7331</t>
  </si>
  <si>
    <t>2624</t>
  </si>
  <si>
    <t>320</t>
  </si>
  <si>
    <t>285</t>
  </si>
  <si>
    <t>67</t>
  </si>
  <si>
    <t>60</t>
  </si>
  <si>
    <t>2365</t>
  </si>
  <si>
    <t>1990</t>
  </si>
  <si>
    <t>375</t>
  </si>
  <si>
    <t>3056</t>
  </si>
  <si>
    <t>155</t>
  </si>
  <si>
    <t>WK060602</t>
  </si>
  <si>
    <t>060602</t>
  </si>
  <si>
    <t>15</t>
  </si>
  <si>
    <t>350</t>
  </si>
  <si>
    <t>345</t>
  </si>
  <si>
    <t>190</t>
  </si>
  <si>
    <t>WK060603</t>
  </si>
  <si>
    <t>060603</t>
  </si>
  <si>
    <t>7323</t>
  </si>
  <si>
    <t>6242</t>
  </si>
  <si>
    <t>406</t>
  </si>
  <si>
    <t>317</t>
  </si>
  <si>
    <t>69</t>
  </si>
  <si>
    <t>4935</t>
  </si>
  <si>
    <t>4010</t>
  </si>
  <si>
    <t>930</t>
  </si>
  <si>
    <t>2758</t>
  </si>
  <si>
    <t>290</t>
  </si>
  <si>
    <t>WK055604</t>
  </si>
  <si>
    <t>055604</t>
  </si>
  <si>
    <t>5598</t>
  </si>
  <si>
    <t>3640</t>
  </si>
  <si>
    <t>586</t>
  </si>
  <si>
    <t>319</t>
  </si>
  <si>
    <t>3390</t>
  </si>
  <si>
    <t>2750</t>
  </si>
  <si>
    <t>640</t>
  </si>
  <si>
    <t>2501</t>
  </si>
  <si>
    <t>WK060604</t>
  </si>
  <si>
    <t>060604</t>
  </si>
  <si>
    <t>11197</t>
  </si>
  <si>
    <t>3119</t>
  </si>
  <si>
    <t>301</t>
  </si>
  <si>
    <t>254</t>
  </si>
  <si>
    <t>36</t>
  </si>
  <si>
    <t>47</t>
  </si>
  <si>
    <t>53</t>
  </si>
  <si>
    <t>98</t>
  </si>
  <si>
    <t>2520</t>
  </si>
  <si>
    <t>2155</t>
  </si>
  <si>
    <t>4461</t>
  </si>
  <si>
    <t>WK055605</t>
  </si>
  <si>
    <t>055605</t>
  </si>
  <si>
    <t>6829</t>
  </si>
  <si>
    <t>2984</t>
  </si>
  <si>
    <t>333</t>
  </si>
  <si>
    <t>62</t>
  </si>
  <si>
    <t>28</t>
  </si>
  <si>
    <t>3140</t>
  </si>
  <si>
    <t>2605</t>
  </si>
  <si>
    <t>535</t>
  </si>
  <si>
    <t>1,1</t>
  </si>
  <si>
    <t>3205</t>
  </si>
  <si>
    <t>WK060605</t>
  </si>
  <si>
    <t>060605</t>
  </si>
  <si>
    <t>1909</t>
  </si>
  <si>
    <t>2210</t>
  </si>
  <si>
    <t>236</t>
  </si>
  <si>
    <t>436</t>
  </si>
  <si>
    <t>19</t>
  </si>
  <si>
    <t>2440</t>
  </si>
  <si>
    <t>1945</t>
  </si>
  <si>
    <t>495</t>
  </si>
  <si>
    <t>842</t>
  </si>
  <si>
    <t>200</t>
  </si>
  <si>
    <t>WK060606</t>
  </si>
  <si>
    <t>060606</t>
  </si>
  <si>
    <t>10051</t>
  </si>
  <si>
    <t>7033</t>
  </si>
  <si>
    <t>414</t>
  </si>
  <si>
    <t>256</t>
  </si>
  <si>
    <t>4960</t>
  </si>
  <si>
    <t>3980</t>
  </si>
  <si>
    <t>975</t>
  </si>
  <si>
    <t>3377</t>
  </si>
  <si>
    <t>215</t>
  </si>
  <si>
    <t>WK055606</t>
  </si>
  <si>
    <t>055606</t>
  </si>
  <si>
    <t>4613</t>
  </si>
  <si>
    <t>2014</t>
  </si>
  <si>
    <t>101</t>
  </si>
  <si>
    <t>63</t>
  </si>
  <si>
    <t>79</t>
  </si>
  <si>
    <t>21</t>
  </si>
  <si>
    <t>2450</t>
  </si>
  <si>
    <t>2005</t>
  </si>
  <si>
    <t>445</t>
  </si>
  <si>
    <t>1,2</t>
  </si>
  <si>
    <t>2318</t>
  </si>
  <si>
    <t>180</t>
  </si>
  <si>
    <t>WK055607</t>
  </si>
  <si>
    <t>055607</t>
  </si>
  <si>
    <t>125</t>
  </si>
  <si>
    <t>773</t>
  </si>
  <si>
    <t>75</t>
  </si>
  <si>
    <t>2,0</t>
  </si>
  <si>
    <t>WK060607</t>
  </si>
  <si>
    <t>060607</t>
  </si>
  <si>
    <t>9502</t>
  </si>
  <si>
    <t>4841</t>
  </si>
  <si>
    <t>372</t>
  </si>
  <si>
    <t>239</t>
  </si>
  <si>
    <t>3490</t>
  </si>
  <si>
    <t>2930</t>
  </si>
  <si>
    <t>560</t>
  </si>
  <si>
    <t>3433</t>
  </si>
  <si>
    <t>150</t>
  </si>
  <si>
    <t>WK060608</t>
  </si>
  <si>
    <t>060608</t>
  </si>
  <si>
    <t>23</t>
  </si>
  <si>
    <t>381</t>
  </si>
  <si>
    <t>96</t>
  </si>
  <si>
    <t>900</t>
  </si>
  <si>
    <t>520</t>
  </si>
  <si>
    <t>WK055608</t>
  </si>
  <si>
    <t>055608</t>
  </si>
  <si>
    <t>1669</t>
  </si>
  <si>
    <t>602</t>
  </si>
  <si>
    <t>612</t>
  </si>
  <si>
    <t>89</t>
  </si>
  <si>
    <t>795</t>
  </si>
  <si>
    <t>605</t>
  </si>
  <si>
    <t>1,4</t>
  </si>
  <si>
    <t>734</t>
  </si>
  <si>
    <t>WK060609</t>
  </si>
  <si>
    <t>060609</t>
  </si>
  <si>
    <t>7459</t>
  </si>
  <si>
    <t>3319</t>
  </si>
  <si>
    <t>325</t>
  </si>
  <si>
    <t>3180</t>
  </si>
  <si>
    <t>2650</t>
  </si>
  <si>
    <t>530</t>
  </si>
  <si>
    <t>3238</t>
  </si>
  <si>
    <t>210</t>
  </si>
  <si>
    <t>WK060610</t>
  </si>
  <si>
    <t>060610</t>
  </si>
  <si>
    <t>6775</t>
  </si>
  <si>
    <t>3041</t>
  </si>
  <si>
    <t>425</t>
  </si>
  <si>
    <t>85</t>
  </si>
  <si>
    <t>3865</t>
  </si>
  <si>
    <t>3060</t>
  </si>
  <si>
    <t>805</t>
  </si>
  <si>
    <t>3323</t>
  </si>
  <si>
    <t>265</t>
  </si>
  <si>
    <t>WK060611</t>
  </si>
  <si>
    <t>060611</t>
  </si>
  <si>
    <t>124</t>
  </si>
  <si>
    <t>674</t>
  </si>
  <si>
    <t>280</t>
  </si>
  <si>
    <t>1,5</t>
  </si>
  <si>
    <t>Oost</t>
  </si>
  <si>
    <t>Taanschuurpolder</t>
  </si>
  <si>
    <t>Dijkpolder</t>
  </si>
  <si>
    <t>Schiedamse Havens</t>
  </si>
  <si>
    <t>West</t>
  </si>
  <si>
    <t>Kapelpolder</t>
  </si>
  <si>
    <t>Zuid</t>
  </si>
  <si>
    <t>Burgemeesterswijk</t>
  </si>
  <si>
    <t>Kethel</t>
  </si>
  <si>
    <t>Nieuwland</t>
  </si>
  <si>
    <t>Steendijkpolder</t>
  </si>
  <si>
    <t>Aalkeetpolder</t>
  </si>
  <si>
    <t>Groenoord</t>
  </si>
  <si>
    <t>Industrie</t>
  </si>
  <si>
    <t>Wilgenrijk</t>
  </si>
  <si>
    <t>Woudhoek</t>
  </si>
  <si>
    <t>Spaland en Sveaparken</t>
  </si>
  <si>
    <t>Polderbuitengebied</t>
  </si>
  <si>
    <t>Percentage kinderen in bijstandshuishoudens t.o.v. totaal aantal kinderen 0 t/m 17 jaar</t>
  </si>
  <si>
    <t>titel</t>
  </si>
  <si>
    <t>bron</t>
  </si>
  <si>
    <t>link</t>
  </si>
  <si>
    <t>Geregistreerde overlast 2024 (meldingen)</t>
  </si>
  <si>
    <t>Geregistreerde overlast 2024 (meldingen per 1000 inwoners)</t>
  </si>
  <si>
    <t>https://politieopendata.cbs.nl/portal.html?_la=nl&amp;_catalog=Politie&amp;graphtype=Table&amp;tableId=47024NED&amp;_theme=115</t>
  </si>
  <si>
    <t>CBS</t>
  </si>
  <si>
    <t>Politie (Rijk)</t>
  </si>
  <si>
    <t>1b-bijstandshuishoudens</t>
  </si>
  <si>
    <t>1b-eenouderhuishoudens</t>
  </si>
  <si>
    <t>1c-geregistreerde_overlast_24</t>
  </si>
  <si>
    <t>1c-geregistreerde_overlast_24_inw</t>
  </si>
  <si>
    <t>wk_naam</t>
  </si>
  <si>
    <t>Leefbarometer</t>
  </si>
  <si>
    <t>1a-leefbarometer</t>
  </si>
  <si>
    <t>1a-leefbarometer-afwijking</t>
  </si>
  <si>
    <t>1a-fysieke-omgeving</t>
  </si>
  <si>
    <t>1a-overlast</t>
  </si>
  <si>
    <t>1a-sociale-samenhang</t>
  </si>
  <si>
    <t>1a-voorzieningen</t>
  </si>
  <si>
    <t>1a-woningvoorraad</t>
  </si>
  <si>
    <t>Leefbarometer (afwijking Nederlands gemiddelde)</t>
  </si>
  <si>
    <t>CBS Jeugdindicatoren</t>
  </si>
  <si>
    <t>Politie (Rijk) (eigen berekening)</t>
  </si>
  <si>
    <t>Leefbarometer (2022)</t>
  </si>
  <si>
    <t>Percentage kinderen in eenouderhuishoudens t.o.v. totaal aantal kinderen 0 t/m 17 jaar</t>
  </si>
  <si>
    <t>Percentage niet-werkende werkzoekende jongeren t.o.v. totaal aantal jongeren 16 t/m 22 jaar</t>
  </si>
  <si>
    <t>Percentage verdachte jongeren t.o.v. totaal aantal jongeren 12 t/m 21 jaar</t>
  </si>
  <si>
    <t>Overlast &amp; Onveiligheid (afwijking Nederlands gemiddelde)</t>
  </si>
  <si>
    <t>Fysieke Omgeving (afwijking Nederlands gemiddelde)</t>
  </si>
  <si>
    <t>Sociale Samenhang (afwijking Nederlands gemiddelde)</t>
  </si>
  <si>
    <t>Voorzieningen (afwijking Nederlands gemiddelde)</t>
  </si>
  <si>
    <t>Woningvoorraad (afwijking Nederlands gemiddelde)</t>
  </si>
  <si>
    <t>1b-werkzoekende-jongeren</t>
  </si>
  <si>
    <t>1b-verdachte-jongeren</t>
  </si>
  <si>
    <t>CBS (2025)</t>
  </si>
  <si>
    <t>Bevolkingsdichtheid (aantal inwoners / km2)</t>
  </si>
  <si>
    <t>1b-kwetsbare-jongeren</t>
  </si>
  <si>
    <t>Armoedemonitor MVS, Kenniscentrum - gemeente Schiedam (2025)</t>
  </si>
  <si>
    <t>Percentage kinderen (0-17 jr.) in huishouden met bijstand of schuldhulp, 2024</t>
  </si>
  <si>
    <t>2b-onderwijs-basis</t>
  </si>
  <si>
    <t>2b-onderwijs-praktijk</t>
  </si>
  <si>
    <t>3b-onderwijs-theoretisch</t>
  </si>
  <si>
    <t>Opleidingsniveau: basisonderwijs, vmbo, mbo1 (% van bevolking 15-75 jaar)</t>
  </si>
  <si>
    <t>Opleidingsniveau: Havo, vwo, mbo2-4 (% van bevolking 15-75 jaar)</t>
  </si>
  <si>
    <t>Opleidingsniveau: Hbo, wo (% van bevolking 15-75 jaar)</t>
  </si>
  <si>
    <t>CBS Statline (2023)</t>
  </si>
  <si>
    <t>StatLine - Bevolking 15 tot 75 jaar; opleidingsniveau, wijken en buurten, 2023</t>
  </si>
  <si>
    <t>2b-arbeidsparticipatie</t>
  </si>
  <si>
    <t>2b-flexibel-werk</t>
  </si>
  <si>
    <t>Werknemer met flexibele arbeidsrelatie (% werkzame bevolking)</t>
  </si>
  <si>
    <t>Netto arbeidsparticipatie (% werkenden van totaal beroeps- en niet-beroepsbevolking)</t>
  </si>
  <si>
    <t>CBS Statline (2022)</t>
  </si>
  <si>
    <t>0-inwoners</t>
  </si>
  <si>
    <t>3-woz-waarde</t>
  </si>
  <si>
    <t>3-koopwoningen</t>
  </si>
  <si>
    <t>3-huurwoningen</t>
  </si>
  <si>
    <t>3-bouwjaar-voor-2000</t>
  </si>
  <si>
    <t>3-bouwjaaar-vanaf-2000</t>
  </si>
  <si>
    <t>3-gem-electrik</t>
  </si>
  <si>
    <t>3-gem-aardgas</t>
  </si>
  <si>
    <t>2-leerlingen-po</t>
  </si>
  <si>
    <t>2-leerlingen-vo</t>
  </si>
  <si>
    <t>2c-studenten-mbo</t>
  </si>
  <si>
    <t>2c-studenten-hbo</t>
  </si>
  <si>
    <t>2c-studenten-wo</t>
  </si>
  <si>
    <t>2b-onderwijs-groep1</t>
  </si>
  <si>
    <t>2b-onderwijs-groep2</t>
  </si>
  <si>
    <t>2b-onderwijs-groep3</t>
  </si>
  <si>
    <t>2b-laag-inkomen</t>
  </si>
  <si>
    <t>2b-sociaal-minimum</t>
  </si>
  <si>
    <t>2b-bijstand</t>
  </si>
  <si>
    <t>2b-ao</t>
  </si>
  <si>
    <t>2b-ww</t>
  </si>
  <si>
    <t>2b-aow</t>
  </si>
  <si>
    <t>2b-jeugdzorg</t>
  </si>
  <si>
    <t>2c-bedrijfsvestigingen</t>
  </si>
  <si>
    <t>Aantal inwoners</t>
  </si>
  <si>
    <t>Gemiddelde WOZ-waarde van woningen</t>
  </si>
  <si>
    <t>Koopwoningen %</t>
  </si>
  <si>
    <t>Huurwoningen totaal %</t>
  </si>
  <si>
    <t>Bouwjaar voor 2000 %</t>
  </si>
  <si>
    <t>Bouwjaar vanaf 2000 %</t>
  </si>
  <si>
    <t>Gemiddelde elektriciteitslevering: Vrijstaande woning (kWh)</t>
  </si>
  <si>
    <t>Gemiddeld aardgasverbruik: Vrijstaande woning (m³)</t>
  </si>
  <si>
    <t>Leerlingen po</t>
  </si>
  <si>
    <t>Leerlingen vo (incl. vavo)</t>
  </si>
  <si>
    <t>Studenten mbo (excl. extranei)</t>
  </si>
  <si>
    <t>Studenten hbo</t>
  </si>
  <si>
    <t>Studenten wo</t>
  </si>
  <si>
    <t>Hoogst behaald onderwijsniveau: Basisonderwijs, vmbo, mbo1</t>
  </si>
  <si>
    <t>Hoogst behaald onderwijsniveau: Havo, vwo, mbo2-4</t>
  </si>
  <si>
    <t>Hoogst behaald onderwijsniveau: Hbo, wo</t>
  </si>
  <si>
    <t>Aantal inkomensontvangers</t>
  </si>
  <si>
    <t>Huishoudens met een laag inkomen %</t>
  </si>
  <si>
    <t>Huish. onder of rond sociaal minimum %</t>
  </si>
  <si>
    <t xml:space="preserve"> Bijstand</t>
  </si>
  <si>
    <t xml:space="preserve"> AO</t>
  </si>
  <si>
    <t xml:space="preserve"> WW</t>
  </si>
  <si>
    <t xml:space="preserve"> AOW</t>
  </si>
  <si>
    <t>Bedrijfsvestigingen totaal</t>
  </si>
  <si>
    <t>3,3</t>
  </si>
  <si>
    <t>4,6</t>
  </si>
  <si>
    <t>4,9</t>
  </si>
  <si>
    <t>10,0</t>
  </si>
  <si>
    <t>5,0</t>
  </si>
  <si>
    <t>8,7</t>
  </si>
  <si>
    <t>3,8</t>
  </si>
  <si>
    <t>8,1</t>
  </si>
  <si>
    <t>2,2</t>
  </si>
  <si>
    <t>1,3</t>
  </si>
  <si>
    <t>3,7</t>
  </si>
  <si>
    <t>16,9</t>
  </si>
  <si>
    <t>4,2</t>
  </si>
  <si>
    <t>4,4</t>
  </si>
  <si>
    <t>7,3</t>
  </si>
  <si>
    <t>2c-bedrijfsvestigingen-per-ha</t>
  </si>
  <si>
    <t>CBS Statline (2023) (eigen berekening)</t>
  </si>
  <si>
    <t>Bedrijfsvestigingen per ha (land)oppervlak</t>
  </si>
  <si>
    <t>2c-studenten-mbo-schaal</t>
  </si>
  <si>
    <t>Aantal studenten mbo (excl. extranei) in % total inwoners</t>
  </si>
  <si>
    <t>Percentage jongeren (tot 23 jaar) met jeugdzorg</t>
  </si>
  <si>
    <t>Totaal aardgasverbruik bedrijven/instellingen incl. aardgasverbruik Energievoorziening (SBI D) [m3] [2023]</t>
  </si>
  <si>
    <t>3-aargasverbruik</t>
  </si>
  <si>
    <t>3-electriciteitsverbruik-bedrijven</t>
  </si>
  <si>
    <t>3-aardgasverbruik-bedrijven</t>
  </si>
  <si>
    <t>3-maandelijkse-kosten-energie-woningen</t>
  </si>
  <si>
    <t>Regionale Klimaatmonitor (2023)</t>
  </si>
  <si>
    <t>Totaal elektriciteitsverbruik alle bedrijven en instellingen, geleverd via openbaar net (kWh) (2023)</t>
  </si>
  <si>
    <t>Aardgasverbruik woningen (temperatuurgecorrigeerd) (miljoen m3) (2023)</t>
  </si>
  <si>
    <t>Regionale Klimaatmonitor (2023) (eigen berekening)</t>
  </si>
  <si>
    <t>3-energielabels</t>
  </si>
  <si>
    <t>Woningen met laag energielabel (E, F, G) in % alle woningen met label</t>
  </si>
  <si>
    <t>Maandelijkse var. energiekosten gem. woning (aardgas, elektriciteit en schatting warmte) (€)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</si>
</sst>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rgb="FF242424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9">
    <xf numFmtId="0" fontId="0" fillId="0" borderId="0"/>
    <xf numFmtId="0" fontId="5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2" fillId="2" borderId="0" xfId="0" applyFont="1" applyFill="1"/>
    <xf numFmtId="164" fontId="2" fillId="2" borderId="0" xfId="0" applyNumberFormat="1" applyFont="1" applyFill="1"/>
    <xf numFmtId="2" fontId="0" fillId="4" borderId="0" xfId="0" applyNumberFormat="1" applyFill="1"/>
    <xf numFmtId="164" fontId="0" fillId="0" borderId="0" xfId="0" applyNumberFormat="1"/>
    <xf numFmtId="0" fontId="0" fillId="5" borderId="0" xfId="0" applyFill="1"/>
    <xf numFmtId="9" fontId="0" fillId="0" borderId="0" xfId="8" applyFont="1"/>
    <xf numFmtId="0" fontId="2" fillId="0" borderId="0" xfId="0" applyFont="1"/>
    <xf numFmtId="2" fontId="2" fillId="4" borderId="0" xfId="0" applyNumberFormat="1" applyFont="1" applyFill="1"/>
    <xf numFmtId="164" fontId="2" fillId="3" borderId="0" xfId="0" applyNumberFormat="1" applyFont="1" applyFill="1"/>
    <xf numFmtId="0" fontId="2" fillId="5" borderId="0" xfId="0" applyFont="1" applyFill="1"/>
    <xf numFmtId="164" fontId="0" fillId="0" borderId="0" xfId="8" applyNumberFormat="1" applyFont="1"/>
    <xf numFmtId="165" fontId="0" fillId="0" borderId="0" xfId="0" applyNumberFormat="1"/>
    <xf numFmtId="165" fontId="0" fillId="0" borderId="0" xfId="8" applyNumberFormat="1" applyFont="1"/>
    <xf numFmtId="165" fontId="2" fillId="0" borderId="0" xfId="0" applyNumberFormat="1" applyFont="1"/>
    <xf numFmtId="2" fontId="0" fillId="0" borderId="0" xfId="0" applyNumberFormat="1"/>
    <xf numFmtId="2" fontId="0" fillId="0" borderId="0" xfId="8" applyNumberFormat="1" applyFont="1"/>
    <xf numFmtId="2" fontId="2" fillId="0" borderId="0" xfId="0" applyNumberFormat="1" applyFont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4" fontId="3" fillId="6" borderId="3" xfId="0" applyNumberFormat="1" applyFont="1" applyFill="1" applyBorder="1" applyAlignment="1">
      <alignment horizontal="center"/>
    </xf>
    <xf numFmtId="165" fontId="3" fillId="6" borderId="3" xfId="0" applyNumberFormat="1" applyFont="1" applyFill="1" applyBorder="1" applyAlignment="1">
      <alignment horizontal="center"/>
    </xf>
    <xf numFmtId="0" fontId="0" fillId="6" borderId="0" xfId="0" applyFill="1"/>
    <xf numFmtId="2" fontId="0" fillId="6" borderId="0" xfId="0" applyNumberFormat="1" applyFill="1"/>
    <xf numFmtId="0" fontId="2" fillId="6" borderId="0" xfId="0" applyFont="1" applyFill="1"/>
    <xf numFmtId="164" fontId="2" fillId="6" borderId="1" xfId="0" applyNumberFormat="1" applyFont="1" applyFill="1" applyBorder="1"/>
    <xf numFmtId="0" fontId="4" fillId="6" borderId="1" xfId="0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0" fontId="6" fillId="7" borderId="2" xfId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/>
    </xf>
    <xf numFmtId="0" fontId="6" fillId="7" borderId="0" xfId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4" fontId="3" fillId="6" borderId="0" xfId="0" applyNumberFormat="1" applyFont="1" applyFill="1" applyAlignment="1">
      <alignment horizontal="center"/>
    </xf>
    <xf numFmtId="0" fontId="3" fillId="8" borderId="4" xfId="0" applyFont="1" applyFill="1" applyBorder="1"/>
    <xf numFmtId="2" fontId="3" fillId="8" borderId="4" xfId="0" applyNumberFormat="1" applyFont="1" applyFill="1" applyBorder="1"/>
    <xf numFmtId="164" fontId="2" fillId="6" borderId="0" xfId="0" applyNumberFormat="1" applyFont="1" applyFill="1"/>
    <xf numFmtId="0" fontId="4" fillId="6" borderId="0" xfId="0" applyFont="1" applyFill="1" applyAlignment="1">
      <alignment horizontal="center"/>
    </xf>
    <xf numFmtId="3" fontId="4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4" fontId="4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 vertical="top"/>
    </xf>
    <xf numFmtId="165" fontId="0" fillId="6" borderId="0" xfId="0" applyNumberFormat="1" applyFill="1"/>
    <xf numFmtId="0" fontId="8" fillId="6" borderId="0" xfId="7" applyFill="1"/>
    <xf numFmtId="2" fontId="8" fillId="6" borderId="0" xfId="7" applyNumberFormat="1" applyFill="1"/>
    <xf numFmtId="2" fontId="3" fillId="6" borderId="0" xfId="0" applyNumberFormat="1" applyFont="1" applyFill="1" applyAlignment="1">
      <alignment horizontal="center"/>
    </xf>
    <xf numFmtId="0" fontId="8" fillId="6" borderId="0" xfId="7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4" fontId="3" fillId="4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4" fontId="3" fillId="4" borderId="0" xfId="0" applyNumberFormat="1" applyFont="1" applyFill="1" applyAlignment="1">
      <alignment horizontal="center"/>
    </xf>
    <xf numFmtId="0" fontId="0" fillId="4" borderId="0" xfId="0" applyFill="1"/>
    <xf numFmtId="0" fontId="0" fillId="4" borderId="0" xfId="0" applyFont="1" applyFill="1" applyAlignment="1">
      <alignment horizontal="center" wrapText="1"/>
    </xf>
    <xf numFmtId="0" fontId="0" fillId="4" borderId="0" xfId="0" applyFont="1" applyFill="1" applyAlignment="1">
      <alignment wrapText="1"/>
    </xf>
    <xf numFmtId="4" fontId="9" fillId="4" borderId="0" xfId="0" applyNumberFormat="1" applyFont="1" applyFill="1" applyAlignment="1">
      <alignment horizontal="center" wrapText="1"/>
    </xf>
    <xf numFmtId="4" fontId="9" fillId="6" borderId="0" xfId="0" applyNumberFormat="1" applyFont="1" applyFill="1" applyAlignment="1">
      <alignment horizontal="center" wrapText="1"/>
    </xf>
    <xf numFmtId="165" fontId="9" fillId="6" borderId="0" xfId="0" applyNumberFormat="1" applyFont="1" applyFill="1" applyAlignment="1">
      <alignment horizontal="center" wrapText="1"/>
    </xf>
    <xf numFmtId="0" fontId="9" fillId="8" borderId="4" xfId="0" applyFont="1" applyFill="1" applyBorder="1" applyAlignment="1">
      <alignment wrapText="1"/>
    </xf>
    <xf numFmtId="2" fontId="9" fillId="8" borderId="4" xfId="0" applyNumberFormat="1" applyFont="1" applyFill="1" applyBorder="1" applyAlignment="1">
      <alignment wrapText="1"/>
    </xf>
    <xf numFmtId="2" fontId="9" fillId="8" borderId="5" xfId="0" applyNumberFormat="1" applyFont="1" applyFill="1" applyBorder="1" applyAlignment="1">
      <alignment wrapText="1"/>
    </xf>
    <xf numFmtId="2" fontId="9" fillId="6" borderId="0" xfId="0" applyNumberFormat="1" applyFont="1" applyFill="1" applyAlignment="1">
      <alignment horizontal="center" wrapText="1"/>
    </xf>
    <xf numFmtId="2" fontId="0" fillId="6" borderId="0" xfId="0" applyNumberFormat="1" applyFont="1" applyFill="1" applyAlignment="1">
      <alignment wrapText="1"/>
    </xf>
    <xf numFmtId="0" fontId="0" fillId="6" borderId="0" xfId="0" applyFont="1" applyFill="1" applyAlignment="1">
      <alignment wrapText="1"/>
    </xf>
    <xf numFmtId="164" fontId="0" fillId="6" borderId="0" xfId="0" applyNumberFormat="1" applyFont="1" applyFill="1" applyAlignment="1">
      <alignment wrapText="1"/>
    </xf>
    <xf numFmtId="0" fontId="0" fillId="6" borderId="0" xfId="0" applyFont="1" applyFill="1" applyAlignment="1">
      <alignment horizontal="center" wrapText="1"/>
    </xf>
    <xf numFmtId="0" fontId="10" fillId="6" borderId="0" xfId="0" applyFont="1" applyFill="1" applyAlignment="1">
      <alignment horizontal="center" wrapText="1"/>
    </xf>
    <xf numFmtId="3" fontId="10" fillId="6" borderId="0" xfId="0" applyNumberFormat="1" applyFont="1" applyFill="1" applyAlignment="1">
      <alignment horizontal="center" wrapText="1"/>
    </xf>
    <xf numFmtId="0" fontId="11" fillId="7" borderId="0" xfId="1" applyFont="1" applyFill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4" fontId="10" fillId="6" borderId="0" xfId="0" applyNumberFormat="1" applyFont="1" applyFill="1" applyAlignment="1">
      <alignment horizontal="center" wrapText="1"/>
    </xf>
    <xf numFmtId="0" fontId="0" fillId="6" borderId="3" xfId="0" applyFont="1" applyFill="1" applyBorder="1" applyAlignment="1">
      <alignment horizontal="center" vertical="top" wrapText="1"/>
    </xf>
    <xf numFmtId="165" fontId="12" fillId="6" borderId="0" xfId="0" applyNumberFormat="1" applyFont="1" applyFill="1"/>
    <xf numFmtId="0" fontId="12" fillId="6" borderId="0" xfId="0" applyFont="1" applyFill="1"/>
    <xf numFmtId="2" fontId="2" fillId="6" borderId="0" xfId="0" applyNumberFormat="1" applyFont="1" applyFill="1"/>
  </cellXfs>
  <cellStyles count="9">
    <cellStyle name="Hyperlink" xfId="7" builtinId="8"/>
    <cellStyle name="Normal" xfId="0" builtinId="0"/>
    <cellStyle name="Per cent" xfId="8" builtinId="5"/>
    <cellStyle name="Standaard_Blad2" xfId="2" xr:uid="{0653674D-2EBC-40C1-90E9-AE4870A7846E}"/>
    <cellStyle name="Standaard_KWB2022" xfId="1" xr:uid="{2E11640C-159C-4579-99ED-4215DB4A87C7}"/>
    <cellStyle name="style1695737985194" xfId="3" xr:uid="{3F20D5FC-5AD8-42F5-BE14-DD5FDC47C424}"/>
    <cellStyle name="style1695738043293" xfId="4" xr:uid="{A12B6830-0529-4E95-A37F-214214E0EAA0}"/>
    <cellStyle name="style1695738099347" xfId="5" xr:uid="{32358886-BFF0-4D0C-815B-79158F862A9A}"/>
    <cellStyle name="style1695738157584" xfId="6" xr:uid="{F4F3780A-9ED3-479C-921D-C9972FA228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data.cbs.nl/" TargetMode="External"/><Relationship Id="rId2" Type="http://schemas.openxmlformats.org/officeDocument/2006/relationships/hyperlink" Target="https://opendata.cbs.nl/" TargetMode="External"/><Relationship Id="rId1" Type="http://schemas.openxmlformats.org/officeDocument/2006/relationships/hyperlink" Target="https://politieopendata.cbs.nl/portal.html?_la=nl&amp;_catalog=Politie&amp;graphtype=Table&amp;tableId=47024NED&amp;_theme=11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pendata.cbs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8A42-E585-48A0-B276-E508055FA515}">
  <dimension ref="A1:EC38"/>
  <sheetViews>
    <sheetView tabSelected="1" zoomScale="85" zoomScaleNormal="85" workbookViewId="0">
      <pane ySplit="1" topLeftCell="A2" activePane="bottomLeft" state="frozen"/>
      <selection pane="bottomLeft" activeCell="E20" sqref="E20"/>
    </sheetView>
  </sheetViews>
  <sheetFormatPr defaultRowHeight="14.4" x14ac:dyDescent="0.3"/>
  <cols>
    <col min="1" max="1" width="17.44140625" style="57" customWidth="1"/>
    <col min="2" max="2" width="8.88671875" style="57"/>
    <col min="3" max="3" width="24.33203125" style="57" customWidth="1"/>
    <col min="4" max="4" width="18.6640625" style="57" customWidth="1"/>
    <col min="5" max="5" width="8.88671875" style="57"/>
    <col min="6" max="6" width="16.33203125" style="57" customWidth="1"/>
    <col min="7" max="36" width="12.77734375" customWidth="1"/>
    <col min="37" max="37" width="12.77734375" style="16" customWidth="1"/>
    <col min="38" max="41" width="12.77734375" customWidth="1"/>
    <col min="42" max="45" width="12.77734375" style="19" customWidth="1"/>
    <col min="46" max="52" width="12.77734375" style="7" customWidth="1"/>
    <col min="53" max="56" width="12.77734375" style="4" customWidth="1"/>
    <col min="57" max="57" width="12.77734375" style="2" customWidth="1"/>
    <col min="58" max="58" width="12.77734375" style="3" customWidth="1"/>
    <col min="59" max="59" width="12.77734375" style="9" customWidth="1"/>
    <col min="60" max="120" width="12.77734375" customWidth="1"/>
  </cols>
  <sheetData>
    <row r="1" spans="1:133" s="26" customFormat="1" x14ac:dyDescent="0.3">
      <c r="A1" s="51" t="s">
        <v>0</v>
      </c>
      <c r="B1" s="52" t="s">
        <v>1</v>
      </c>
      <c r="C1" s="53" t="s">
        <v>497</v>
      </c>
      <c r="D1" s="53" t="s">
        <v>2</v>
      </c>
      <c r="E1" s="53" t="s">
        <v>3</v>
      </c>
      <c r="F1" s="53" t="s">
        <v>4</v>
      </c>
      <c r="G1" s="26" t="s">
        <v>538</v>
      </c>
      <c r="H1" s="26" t="s">
        <v>539</v>
      </c>
      <c r="I1" s="26" t="s">
        <v>540</v>
      </c>
      <c r="J1" s="26" t="s">
        <v>541</v>
      </c>
      <c r="K1" s="26" t="s">
        <v>542</v>
      </c>
      <c r="L1" s="26" t="s">
        <v>543</v>
      </c>
      <c r="M1" s="26" t="s">
        <v>544</v>
      </c>
      <c r="N1" s="26" t="s">
        <v>545</v>
      </c>
      <c r="O1" s="26" t="s">
        <v>546</v>
      </c>
      <c r="P1" s="26" t="s">
        <v>547</v>
      </c>
      <c r="Q1" s="26" t="s">
        <v>548</v>
      </c>
      <c r="R1" s="26" t="s">
        <v>604</v>
      </c>
      <c r="S1" s="26" t="s">
        <v>549</v>
      </c>
      <c r="T1" s="26" t="s">
        <v>550</v>
      </c>
      <c r="U1" s="26" t="s">
        <v>551</v>
      </c>
      <c r="V1" s="26" t="s">
        <v>552</v>
      </c>
      <c r="W1" s="26" t="s">
        <v>553</v>
      </c>
      <c r="Y1" s="26" t="s">
        <v>554</v>
      </c>
      <c r="Z1" s="26" t="s">
        <v>555</v>
      </c>
      <c r="AA1" s="26" t="s">
        <v>556</v>
      </c>
      <c r="AB1" s="26" t="s">
        <v>557</v>
      </c>
      <c r="AC1" s="26" t="s">
        <v>558</v>
      </c>
      <c r="AD1" s="26" t="s">
        <v>559</v>
      </c>
      <c r="AE1" s="26" t="s">
        <v>560</v>
      </c>
      <c r="AF1" s="26" t="s">
        <v>561</v>
      </c>
      <c r="AG1" s="32" t="s">
        <v>63</v>
      </c>
      <c r="AH1" s="35" t="s">
        <v>601</v>
      </c>
      <c r="AI1" s="24" t="s">
        <v>533</v>
      </c>
      <c r="AJ1" s="24" t="s">
        <v>534</v>
      </c>
      <c r="AK1" s="25" t="s">
        <v>522</v>
      </c>
      <c r="AL1" s="24" t="s">
        <v>525</v>
      </c>
      <c r="AM1" s="24" t="s">
        <v>526</v>
      </c>
      <c r="AN1" s="24" t="s">
        <v>527</v>
      </c>
      <c r="AO1" s="26" t="s">
        <v>608</v>
      </c>
      <c r="AP1" s="27" t="s">
        <v>609</v>
      </c>
      <c r="AQ1" s="27" t="s">
        <v>610</v>
      </c>
      <c r="AR1" s="27" t="s">
        <v>611</v>
      </c>
      <c r="AS1" s="27" t="s">
        <v>616</v>
      </c>
      <c r="AT1" s="27" t="s">
        <v>499</v>
      </c>
      <c r="AU1" s="27" t="s">
        <v>500</v>
      </c>
      <c r="AV1" s="27" t="s">
        <v>501</v>
      </c>
      <c r="AW1" s="27" t="s">
        <v>502</v>
      </c>
      <c r="AX1" s="27" t="s">
        <v>503</v>
      </c>
      <c r="AY1" s="27" t="s">
        <v>504</v>
      </c>
      <c r="AZ1" s="27" t="s">
        <v>505</v>
      </c>
      <c r="BA1" s="23" t="s">
        <v>493</v>
      </c>
      <c r="BB1" s="23" t="s">
        <v>494</v>
      </c>
      <c r="BC1" s="23" t="s">
        <v>518</v>
      </c>
      <c r="BD1" s="28" t="s">
        <v>519</v>
      </c>
      <c r="BE1" s="23" t="s">
        <v>495</v>
      </c>
      <c r="BF1" s="29" t="s">
        <v>496</v>
      </c>
      <c r="BG1" s="22" t="s">
        <v>5</v>
      </c>
      <c r="BH1" s="22" t="s">
        <v>6</v>
      </c>
      <c r="BI1" s="22" t="s">
        <v>7</v>
      </c>
      <c r="BJ1" s="22" t="s">
        <v>8</v>
      </c>
      <c r="BK1" s="22" t="s">
        <v>9</v>
      </c>
      <c r="BL1" s="22" t="s">
        <v>10</v>
      </c>
      <c r="BM1" s="22" t="s">
        <v>11</v>
      </c>
      <c r="BN1" s="22" t="s">
        <v>12</v>
      </c>
      <c r="BO1" s="22" t="s">
        <v>13</v>
      </c>
      <c r="BP1" s="22" t="s">
        <v>14</v>
      </c>
      <c r="BQ1" s="22" t="s">
        <v>15</v>
      </c>
      <c r="BR1" s="22" t="s">
        <v>16</v>
      </c>
      <c r="BS1" s="22" t="s">
        <v>17</v>
      </c>
      <c r="BT1" s="22" t="s">
        <v>18</v>
      </c>
      <c r="BU1" s="22" t="s">
        <v>19</v>
      </c>
      <c r="BV1" s="22" t="s">
        <v>20</v>
      </c>
      <c r="BW1" s="22" t="s">
        <v>21</v>
      </c>
      <c r="BX1" s="22" t="s">
        <v>22</v>
      </c>
      <c r="BY1" s="22" t="s">
        <v>23</v>
      </c>
      <c r="BZ1" s="22" t="s">
        <v>24</v>
      </c>
      <c r="CA1" s="30" t="s">
        <v>25</v>
      </c>
      <c r="CB1" s="30" t="s">
        <v>26</v>
      </c>
      <c r="CC1" s="30" t="s">
        <v>27</v>
      </c>
      <c r="CD1" s="30" t="s">
        <v>28</v>
      </c>
      <c r="CE1" s="31" t="s">
        <v>29</v>
      </c>
      <c r="CF1" s="31" t="s">
        <v>30</v>
      </c>
      <c r="CG1" s="31" t="s">
        <v>31</v>
      </c>
      <c r="CH1" s="31" t="s">
        <v>32</v>
      </c>
      <c r="CI1" s="31" t="s">
        <v>33</v>
      </c>
      <c r="CJ1" s="31" t="s">
        <v>34</v>
      </c>
      <c r="CK1" s="31" t="s">
        <v>35</v>
      </c>
      <c r="CL1" s="31" t="s">
        <v>36</v>
      </c>
      <c r="CM1" s="31" t="s">
        <v>37</v>
      </c>
      <c r="CN1" s="31" t="s">
        <v>38</v>
      </c>
      <c r="CO1" s="31" t="s">
        <v>39</v>
      </c>
      <c r="CP1" s="31" t="s">
        <v>40</v>
      </c>
      <c r="CQ1" s="31" t="s">
        <v>41</v>
      </c>
      <c r="CR1" s="31" t="s">
        <v>42</v>
      </c>
      <c r="CS1" s="31" t="s">
        <v>43</v>
      </c>
      <c r="CT1" s="31" t="s">
        <v>44</v>
      </c>
      <c r="CU1" s="31" t="s">
        <v>45</v>
      </c>
      <c r="CV1" s="31" t="s">
        <v>46</v>
      </c>
      <c r="CW1" s="32" t="s">
        <v>47</v>
      </c>
      <c r="CX1" s="32" t="s">
        <v>48</v>
      </c>
      <c r="CY1" s="32" t="s">
        <v>49</v>
      </c>
      <c r="CZ1" s="32" t="s">
        <v>50</v>
      </c>
      <c r="DA1" s="32" t="s">
        <v>51</v>
      </c>
      <c r="DB1" s="32" t="s">
        <v>52</v>
      </c>
      <c r="DC1" s="32" t="s">
        <v>53</v>
      </c>
      <c r="DD1" s="32" t="s">
        <v>54</v>
      </c>
      <c r="DE1" s="32" t="s">
        <v>55</v>
      </c>
      <c r="DF1" s="33" t="s">
        <v>56</v>
      </c>
      <c r="DG1" s="33" t="s">
        <v>57</v>
      </c>
      <c r="DH1" s="33" t="s">
        <v>58</v>
      </c>
      <c r="DI1" s="33" t="s">
        <v>59</v>
      </c>
      <c r="DJ1" s="33" t="s">
        <v>60</v>
      </c>
      <c r="DK1" s="33" t="s">
        <v>61</v>
      </c>
      <c r="DL1" s="32" t="s">
        <v>62</v>
      </c>
      <c r="DM1" s="32" t="s">
        <v>63</v>
      </c>
      <c r="DN1" s="32" t="s">
        <v>64</v>
      </c>
      <c r="DO1" s="34" t="s">
        <v>65</v>
      </c>
      <c r="DP1" s="34" t="s">
        <v>66</v>
      </c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</row>
    <row r="2" spans="1:133" s="68" customFormat="1" ht="132.6" x14ac:dyDescent="0.3">
      <c r="A2" s="58" t="s">
        <v>485</v>
      </c>
      <c r="B2" s="59"/>
      <c r="C2" s="60"/>
      <c r="D2" s="60"/>
      <c r="E2" s="60"/>
      <c r="F2" s="60"/>
      <c r="G2" s="76" t="s">
        <v>562</v>
      </c>
      <c r="H2" s="76" t="s">
        <v>563</v>
      </c>
      <c r="I2" s="76" t="s">
        <v>564</v>
      </c>
      <c r="J2" s="76" t="s">
        <v>565</v>
      </c>
      <c r="K2" s="76" t="s">
        <v>566</v>
      </c>
      <c r="L2" s="76" t="s">
        <v>567</v>
      </c>
      <c r="M2" s="76" t="s">
        <v>568</v>
      </c>
      <c r="N2" s="76" t="s">
        <v>569</v>
      </c>
      <c r="O2" s="76" t="s">
        <v>570</v>
      </c>
      <c r="P2" s="76" t="s">
        <v>571</v>
      </c>
      <c r="Q2" s="76" t="s">
        <v>572</v>
      </c>
      <c r="R2" s="76" t="s">
        <v>605</v>
      </c>
      <c r="S2" s="76" t="s">
        <v>573</v>
      </c>
      <c r="T2" s="76" t="s">
        <v>574</v>
      </c>
      <c r="U2" s="76" t="s">
        <v>575</v>
      </c>
      <c r="V2" s="76" t="s">
        <v>576</v>
      </c>
      <c r="W2" s="76" t="s">
        <v>577</v>
      </c>
      <c r="X2" s="76" t="s">
        <v>578</v>
      </c>
      <c r="Y2" s="76" t="s">
        <v>579</v>
      </c>
      <c r="Z2" s="76" t="s">
        <v>580</v>
      </c>
      <c r="AA2" s="76" t="s">
        <v>581</v>
      </c>
      <c r="AB2" s="76" t="s">
        <v>582</v>
      </c>
      <c r="AC2" s="76" t="s">
        <v>583</v>
      </c>
      <c r="AD2" s="76" t="s">
        <v>584</v>
      </c>
      <c r="AE2" s="76" t="s">
        <v>606</v>
      </c>
      <c r="AF2" s="76" t="s">
        <v>585</v>
      </c>
      <c r="AG2" s="73"/>
      <c r="AH2" s="73" t="s">
        <v>603</v>
      </c>
      <c r="AI2" s="61" t="s">
        <v>536</v>
      </c>
      <c r="AJ2" s="61" t="s">
        <v>535</v>
      </c>
      <c r="AK2" s="62" t="s">
        <v>524</v>
      </c>
      <c r="AL2" s="61" t="s">
        <v>528</v>
      </c>
      <c r="AM2" s="61" t="s">
        <v>529</v>
      </c>
      <c r="AN2" s="61" t="s">
        <v>530</v>
      </c>
      <c r="AO2" s="63" t="s">
        <v>614</v>
      </c>
      <c r="AP2" s="64" t="s">
        <v>613</v>
      </c>
      <c r="AQ2" s="64" t="s">
        <v>607</v>
      </c>
      <c r="AR2" s="64" t="s">
        <v>618</v>
      </c>
      <c r="AS2" s="65" t="s">
        <v>617</v>
      </c>
      <c r="AT2" s="66" t="s">
        <v>498</v>
      </c>
      <c r="AU2" s="66" t="s">
        <v>506</v>
      </c>
      <c r="AV2" s="67" t="s">
        <v>514</v>
      </c>
      <c r="AW2" s="67" t="s">
        <v>513</v>
      </c>
      <c r="AX2" s="67" t="s">
        <v>515</v>
      </c>
      <c r="AY2" s="67" t="s">
        <v>516</v>
      </c>
      <c r="AZ2" s="67" t="s">
        <v>517</v>
      </c>
      <c r="BA2" s="68" t="s">
        <v>484</v>
      </c>
      <c r="BB2" s="68" t="s">
        <v>510</v>
      </c>
      <c r="BC2" s="68" t="s">
        <v>511</v>
      </c>
      <c r="BD2" s="68" t="s">
        <v>512</v>
      </c>
      <c r="BE2" s="68" t="s">
        <v>488</v>
      </c>
      <c r="BF2" s="69" t="s">
        <v>489</v>
      </c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1"/>
      <c r="CB2" s="71"/>
      <c r="CC2" s="71"/>
      <c r="CD2" s="71"/>
      <c r="CE2" s="72"/>
      <c r="CF2" s="72" t="s">
        <v>521</v>
      </c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3"/>
      <c r="CX2" s="73"/>
      <c r="CY2" s="73"/>
      <c r="CZ2" s="73"/>
      <c r="DA2" s="73"/>
      <c r="DB2" s="73"/>
      <c r="DC2" s="73"/>
      <c r="DD2" s="73"/>
      <c r="DE2" s="73"/>
      <c r="DF2" s="74"/>
      <c r="DG2" s="74"/>
      <c r="DH2" s="74"/>
      <c r="DI2" s="74"/>
      <c r="DJ2" s="74"/>
      <c r="DK2" s="74"/>
      <c r="DL2" s="73"/>
      <c r="DM2" s="73"/>
      <c r="DN2" s="73"/>
      <c r="DO2" s="75"/>
      <c r="DP2" s="75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</row>
    <row r="3" spans="1:133" s="28" customFormat="1" x14ac:dyDescent="0.3">
      <c r="A3" s="54" t="s">
        <v>486</v>
      </c>
      <c r="B3" s="55"/>
      <c r="C3" s="56"/>
      <c r="D3" s="56"/>
      <c r="E3" s="56"/>
      <c r="F3" s="56"/>
      <c r="G3" s="45" t="s">
        <v>531</v>
      </c>
      <c r="H3" s="45" t="s">
        <v>531</v>
      </c>
      <c r="I3" s="45" t="s">
        <v>531</v>
      </c>
      <c r="J3" s="45" t="s">
        <v>531</v>
      </c>
      <c r="K3" s="45" t="s">
        <v>531</v>
      </c>
      <c r="L3" s="45" t="s">
        <v>531</v>
      </c>
      <c r="M3" s="45" t="s">
        <v>531</v>
      </c>
      <c r="N3" s="45" t="s">
        <v>531</v>
      </c>
      <c r="O3" s="45" t="s">
        <v>531</v>
      </c>
      <c r="P3" s="45" t="s">
        <v>531</v>
      </c>
      <c r="Q3" s="45" t="s">
        <v>531</v>
      </c>
      <c r="R3" s="45" t="s">
        <v>531</v>
      </c>
      <c r="S3" s="45" t="s">
        <v>531</v>
      </c>
      <c r="T3" s="45" t="s">
        <v>531</v>
      </c>
      <c r="U3" s="45" t="s">
        <v>531</v>
      </c>
      <c r="V3" s="45" t="s">
        <v>531</v>
      </c>
      <c r="W3" s="45" t="s">
        <v>531</v>
      </c>
      <c r="X3" s="45" t="s">
        <v>531</v>
      </c>
      <c r="Y3" s="45" t="s">
        <v>531</v>
      </c>
      <c r="Z3" s="45" t="s">
        <v>531</v>
      </c>
      <c r="AA3" s="45" t="s">
        <v>531</v>
      </c>
      <c r="AB3" s="45" t="s">
        <v>531</v>
      </c>
      <c r="AC3" s="45" t="s">
        <v>531</v>
      </c>
      <c r="AD3" s="45" t="s">
        <v>531</v>
      </c>
      <c r="AE3" s="45" t="s">
        <v>531</v>
      </c>
      <c r="AF3" s="45" t="s">
        <v>531</v>
      </c>
      <c r="AG3" s="35"/>
      <c r="AH3" s="45" t="s">
        <v>602</v>
      </c>
      <c r="AI3" s="37" t="s">
        <v>537</v>
      </c>
      <c r="AJ3" s="37" t="s">
        <v>537</v>
      </c>
      <c r="AK3" s="77" t="s">
        <v>523</v>
      </c>
      <c r="AL3" s="78" t="s">
        <v>531</v>
      </c>
      <c r="AM3" s="28" t="s">
        <v>531</v>
      </c>
      <c r="AN3" s="78" t="s">
        <v>531</v>
      </c>
      <c r="AO3" s="38" t="s">
        <v>612</v>
      </c>
      <c r="AP3" s="39" t="s">
        <v>612</v>
      </c>
      <c r="AQ3" s="39" t="s">
        <v>612</v>
      </c>
      <c r="AR3" s="39" t="s">
        <v>612</v>
      </c>
      <c r="AS3" s="79" t="s">
        <v>615</v>
      </c>
      <c r="AT3" s="49" t="s">
        <v>498</v>
      </c>
      <c r="AU3" s="49" t="s">
        <v>509</v>
      </c>
      <c r="AV3" s="49" t="s">
        <v>509</v>
      </c>
      <c r="AW3" s="49" t="s">
        <v>509</v>
      </c>
      <c r="AX3" s="49" t="s">
        <v>509</v>
      </c>
      <c r="AY3" s="49" t="s">
        <v>509</v>
      </c>
      <c r="AZ3" s="49" t="s">
        <v>509</v>
      </c>
      <c r="BA3" s="28" t="s">
        <v>507</v>
      </c>
      <c r="BB3" s="28" t="s">
        <v>507</v>
      </c>
      <c r="BC3" s="28" t="s">
        <v>507</v>
      </c>
      <c r="BD3" s="28" t="s">
        <v>507</v>
      </c>
      <c r="BE3" s="28" t="s">
        <v>492</v>
      </c>
      <c r="BF3" s="40" t="s">
        <v>508</v>
      </c>
      <c r="BG3" s="36" t="s">
        <v>491</v>
      </c>
      <c r="BH3" s="36" t="s">
        <v>491</v>
      </c>
      <c r="BI3" s="36" t="s">
        <v>491</v>
      </c>
      <c r="BJ3" s="36" t="s">
        <v>491</v>
      </c>
      <c r="BK3" s="36" t="s">
        <v>491</v>
      </c>
      <c r="BL3" s="36" t="s">
        <v>491</v>
      </c>
      <c r="BM3" s="36" t="s">
        <v>491</v>
      </c>
      <c r="BN3" s="36" t="s">
        <v>491</v>
      </c>
      <c r="BO3" s="36" t="s">
        <v>491</v>
      </c>
      <c r="BP3" s="36" t="s">
        <v>491</v>
      </c>
      <c r="BQ3" s="36" t="s">
        <v>491</v>
      </c>
      <c r="BR3" s="36" t="s">
        <v>491</v>
      </c>
      <c r="BS3" s="36" t="s">
        <v>491</v>
      </c>
      <c r="BT3" s="36" t="s">
        <v>491</v>
      </c>
      <c r="BU3" s="36" t="s">
        <v>491</v>
      </c>
      <c r="BV3" s="36" t="s">
        <v>491</v>
      </c>
      <c r="BW3" s="36" t="s">
        <v>491</v>
      </c>
      <c r="BX3" s="36" t="s">
        <v>491</v>
      </c>
      <c r="BY3" s="36" t="s">
        <v>491</v>
      </c>
      <c r="BZ3" s="36" t="s">
        <v>491</v>
      </c>
      <c r="CA3" s="41"/>
      <c r="CB3" s="41"/>
      <c r="CC3" s="41"/>
      <c r="CD3" s="41"/>
      <c r="CE3" s="42"/>
      <c r="CF3" s="42" t="s">
        <v>520</v>
      </c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35"/>
      <c r="CX3" s="35"/>
      <c r="CY3" s="35"/>
      <c r="CZ3" s="35"/>
      <c r="DA3" s="35"/>
      <c r="DB3" s="35"/>
      <c r="DC3" s="35"/>
      <c r="DD3" s="35"/>
      <c r="DE3" s="35"/>
      <c r="DF3" s="43"/>
      <c r="DG3" s="43"/>
      <c r="DH3" s="43"/>
      <c r="DI3" s="43"/>
      <c r="DJ3" s="43"/>
      <c r="DK3" s="43"/>
      <c r="DL3" s="35"/>
      <c r="DM3" s="35"/>
      <c r="DN3" s="35"/>
      <c r="DO3" s="44"/>
      <c r="DP3" s="44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</row>
    <row r="4" spans="1:133" s="26" customFormat="1" x14ac:dyDescent="0.3">
      <c r="A4" s="54" t="s">
        <v>487</v>
      </c>
      <c r="B4" s="55"/>
      <c r="C4" s="56"/>
      <c r="D4" s="56"/>
      <c r="E4" s="56"/>
      <c r="F4" s="56"/>
      <c r="AG4" s="35"/>
      <c r="AH4" s="35"/>
      <c r="AI4" s="37"/>
      <c r="AJ4" s="37"/>
      <c r="AK4" s="46"/>
      <c r="AL4" s="47" t="s">
        <v>532</v>
      </c>
      <c r="AM4" s="47" t="s">
        <v>532</v>
      </c>
      <c r="AN4" s="47" t="s">
        <v>532</v>
      </c>
      <c r="AO4" s="47"/>
      <c r="AP4" s="48"/>
      <c r="AQ4" s="48"/>
      <c r="AR4" s="48"/>
      <c r="AS4" s="48"/>
      <c r="AT4" s="49"/>
      <c r="AU4" s="49"/>
      <c r="AV4" s="49"/>
      <c r="AW4" s="49"/>
      <c r="AX4" s="49"/>
      <c r="AY4" s="49"/>
      <c r="AZ4" s="49"/>
      <c r="BA4" s="28"/>
      <c r="BB4" s="28"/>
      <c r="BC4" s="28"/>
      <c r="BE4" s="50" t="s">
        <v>490</v>
      </c>
      <c r="BF4" s="40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41"/>
      <c r="CB4" s="41"/>
      <c r="CC4" s="41"/>
      <c r="CD4" s="41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35"/>
      <c r="CX4" s="35"/>
      <c r="CY4" s="35"/>
      <c r="CZ4" s="35"/>
      <c r="DA4" s="35"/>
      <c r="DB4" s="35"/>
      <c r="DC4" s="35"/>
      <c r="DD4" s="35"/>
      <c r="DE4" s="35"/>
      <c r="DF4" s="43"/>
      <c r="DG4" s="43"/>
      <c r="DH4" s="43"/>
      <c r="DI4" s="43"/>
      <c r="DJ4" s="43"/>
      <c r="DK4" s="43"/>
      <c r="DL4" s="35"/>
      <c r="DM4" s="35"/>
      <c r="DN4" s="35"/>
      <c r="DO4" s="44"/>
      <c r="DP4" s="44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</row>
    <row r="5" spans="1:133" x14ac:dyDescent="0.3">
      <c r="A5" s="57" t="s">
        <v>291</v>
      </c>
      <c r="B5" s="57" t="s">
        <v>292</v>
      </c>
      <c r="C5" s="57" t="s">
        <v>467</v>
      </c>
      <c r="D5" s="57" t="s">
        <v>194</v>
      </c>
      <c r="E5" s="57" t="s">
        <v>71</v>
      </c>
      <c r="F5" s="57" t="s">
        <v>291</v>
      </c>
      <c r="G5">
        <v>2815</v>
      </c>
      <c r="H5">
        <v>303</v>
      </c>
      <c r="I5">
        <v>66</v>
      </c>
      <c r="J5">
        <v>34</v>
      </c>
      <c r="K5">
        <v>80</v>
      </c>
      <c r="L5">
        <v>20</v>
      </c>
      <c r="M5">
        <v>4520</v>
      </c>
      <c r="N5">
        <v>1940</v>
      </c>
      <c r="O5">
        <v>210</v>
      </c>
      <c r="P5">
        <v>120</v>
      </c>
      <c r="Q5">
        <v>100</v>
      </c>
      <c r="R5" s="8">
        <f>(Q5/G5)*100</f>
        <v>3.5523978685612785</v>
      </c>
      <c r="S5">
        <v>60</v>
      </c>
      <c r="T5">
        <v>20</v>
      </c>
      <c r="U5">
        <v>640</v>
      </c>
      <c r="V5">
        <v>1010</v>
      </c>
      <c r="W5">
        <v>580</v>
      </c>
      <c r="X5">
        <v>2300</v>
      </c>
      <c r="Y5" t="s">
        <v>586</v>
      </c>
      <c r="Z5" t="s">
        <v>587</v>
      </c>
      <c r="AA5">
        <v>890</v>
      </c>
      <c r="AB5">
        <v>1320</v>
      </c>
      <c r="AC5">
        <v>310</v>
      </c>
      <c r="AD5">
        <v>7430</v>
      </c>
      <c r="AE5">
        <v>5.9</v>
      </c>
      <c r="AF5">
        <v>330</v>
      </c>
      <c r="AG5">
        <v>46</v>
      </c>
      <c r="AH5" s="8">
        <f>(AF5/AG5)</f>
        <v>7.1739130434782608</v>
      </c>
      <c r="AI5" t="e">
        <f>VLOOKUP(F5,#REF!, 2, FALSE)</f>
        <v>#REF!</v>
      </c>
      <c r="AJ5" t="e">
        <f>VLOOKUP(F5,#REF!, 3, FALSE)</f>
        <v>#REF!</v>
      </c>
      <c r="AK5" s="17">
        <v>11.1</v>
      </c>
      <c r="AL5" s="10"/>
      <c r="AM5" s="10"/>
      <c r="AN5" s="10"/>
      <c r="AO5" s="20">
        <v>0</v>
      </c>
      <c r="AP5" s="20">
        <v>1212000</v>
      </c>
      <c r="AQ5" s="20">
        <v>0</v>
      </c>
      <c r="AR5" s="20">
        <v>265</v>
      </c>
      <c r="AS5" s="20">
        <v>27.464788732394368</v>
      </c>
      <c r="AT5" s="7">
        <v>4.0799244544734998</v>
      </c>
      <c r="AU5" s="7">
        <v>-2.2340396670179102E-2</v>
      </c>
      <c r="AV5" s="7">
        <v>-1.6527798781835201E-2</v>
      </c>
      <c r="AW5" s="7">
        <v>3.21056143643872E-3</v>
      </c>
      <c r="AX5" s="7">
        <v>-2.5100849489530001E-2</v>
      </c>
      <c r="AY5" s="7">
        <v>-9.8636211641992596E-3</v>
      </c>
      <c r="AZ5" s="7">
        <v>2.59413113289464E-2</v>
      </c>
      <c r="BA5" s="4">
        <v>5</v>
      </c>
      <c r="BB5" s="4">
        <v>23</v>
      </c>
      <c r="BE5" s="2">
        <v>59</v>
      </c>
      <c r="BF5" s="3">
        <f>BE5 / BG5 * 1000</f>
        <v>20.240137221269297</v>
      </c>
      <c r="BG5" s="9">
        <v>2915</v>
      </c>
      <c r="BH5">
        <v>1435</v>
      </c>
      <c r="BI5">
        <v>1480</v>
      </c>
      <c r="BJ5">
        <v>435</v>
      </c>
      <c r="BK5">
        <v>325</v>
      </c>
      <c r="BL5">
        <v>840</v>
      </c>
      <c r="BM5">
        <v>800</v>
      </c>
      <c r="BN5">
        <v>515</v>
      </c>
      <c r="BO5">
        <v>1475</v>
      </c>
      <c r="BP5">
        <v>1105</v>
      </c>
      <c r="BQ5">
        <v>245</v>
      </c>
      <c r="BR5">
        <v>90</v>
      </c>
      <c r="BS5">
        <v>2065</v>
      </c>
      <c r="BT5">
        <v>295</v>
      </c>
      <c r="BU5">
        <v>555</v>
      </c>
      <c r="BV5">
        <v>2065</v>
      </c>
      <c r="BW5">
        <v>100</v>
      </c>
      <c r="BX5">
        <v>320</v>
      </c>
      <c r="BY5">
        <v>190</v>
      </c>
      <c r="BZ5">
        <v>240</v>
      </c>
      <c r="CA5" s="1">
        <v>1370</v>
      </c>
      <c r="CB5" s="1">
        <v>480</v>
      </c>
      <c r="CC5" s="1">
        <v>425</v>
      </c>
      <c r="CD5" s="1">
        <v>460</v>
      </c>
      <c r="CE5" s="1">
        <v>2.1</v>
      </c>
      <c r="CF5" s="1" t="s">
        <v>293</v>
      </c>
      <c r="CG5" s="1" t="s">
        <v>294</v>
      </c>
      <c r="CH5" s="1" t="s">
        <v>295</v>
      </c>
      <c r="CI5" s="1" t="s">
        <v>296</v>
      </c>
      <c r="CJ5" s="1" t="s">
        <v>255</v>
      </c>
      <c r="CK5" s="1" t="s">
        <v>226</v>
      </c>
      <c r="CL5" s="1" t="s">
        <v>172</v>
      </c>
      <c r="CM5" s="1" t="s">
        <v>86</v>
      </c>
      <c r="CN5" s="1" t="s">
        <v>114</v>
      </c>
      <c r="CO5" s="1" t="s">
        <v>75</v>
      </c>
      <c r="CP5" s="1" t="s">
        <v>88</v>
      </c>
      <c r="CQ5" s="1" t="s">
        <v>87</v>
      </c>
      <c r="CR5" s="1" t="s">
        <v>84</v>
      </c>
      <c r="CS5" s="1" t="s">
        <v>181</v>
      </c>
      <c r="CT5" s="1" t="s">
        <v>88</v>
      </c>
      <c r="CU5" s="1" t="s">
        <v>297</v>
      </c>
      <c r="CV5" s="1" t="s">
        <v>146</v>
      </c>
      <c r="CW5" s="1">
        <v>355</v>
      </c>
      <c r="CX5" s="1">
        <v>5</v>
      </c>
      <c r="CY5" s="1">
        <v>75</v>
      </c>
      <c r="CZ5" s="1">
        <v>40</v>
      </c>
      <c r="DA5" s="1">
        <v>30</v>
      </c>
      <c r="DB5" s="1">
        <v>15</v>
      </c>
      <c r="DC5" s="1">
        <v>80</v>
      </c>
      <c r="DD5" s="1">
        <v>70</v>
      </c>
      <c r="DE5" s="1">
        <v>40</v>
      </c>
      <c r="DF5" s="1" t="s">
        <v>298</v>
      </c>
      <c r="DG5" s="1" t="s">
        <v>299</v>
      </c>
      <c r="DH5" s="1" t="s">
        <v>126</v>
      </c>
      <c r="DI5" s="1" t="s">
        <v>135</v>
      </c>
      <c r="DJ5" s="1" t="s">
        <v>300</v>
      </c>
      <c r="DK5" s="1" t="s">
        <v>301</v>
      </c>
      <c r="DL5">
        <v>69</v>
      </c>
      <c r="DM5">
        <v>46</v>
      </c>
      <c r="DN5">
        <v>23</v>
      </c>
      <c r="DO5" s="1">
        <v>2</v>
      </c>
      <c r="DP5" s="1">
        <v>2217</v>
      </c>
    </row>
    <row r="6" spans="1:133" x14ac:dyDescent="0.3">
      <c r="A6" s="57" t="s">
        <v>302</v>
      </c>
      <c r="B6" s="57" t="s">
        <v>303</v>
      </c>
      <c r="C6" s="57" t="s">
        <v>468</v>
      </c>
      <c r="D6" s="57" t="s">
        <v>194</v>
      </c>
      <c r="E6" s="57" t="s">
        <v>71</v>
      </c>
      <c r="F6" s="57" t="s">
        <v>302</v>
      </c>
      <c r="G6">
        <v>5665</v>
      </c>
      <c r="H6">
        <v>270</v>
      </c>
      <c r="I6">
        <v>33</v>
      </c>
      <c r="J6">
        <v>67</v>
      </c>
      <c r="K6">
        <v>96</v>
      </c>
      <c r="L6">
        <v>4</v>
      </c>
      <c r="M6">
        <v>4050</v>
      </c>
      <c r="N6">
        <v>1420</v>
      </c>
      <c r="O6">
        <v>570</v>
      </c>
      <c r="P6">
        <v>350</v>
      </c>
      <c r="Q6">
        <v>180</v>
      </c>
      <c r="R6" s="8">
        <f t="shared" ref="R6:R34" si="0">(Q6/G6)*100</f>
        <v>3.1774051191526915</v>
      </c>
      <c r="S6">
        <v>110</v>
      </c>
      <c r="T6">
        <v>30</v>
      </c>
      <c r="U6">
        <v>1340</v>
      </c>
      <c r="V6">
        <v>1760</v>
      </c>
      <c r="W6">
        <v>830</v>
      </c>
      <c r="X6">
        <v>4500</v>
      </c>
      <c r="Y6" t="s">
        <v>588</v>
      </c>
      <c r="Z6" t="s">
        <v>589</v>
      </c>
      <c r="AA6">
        <v>50</v>
      </c>
      <c r="AB6">
        <v>120</v>
      </c>
      <c r="AC6">
        <v>30</v>
      </c>
      <c r="AD6">
        <v>450</v>
      </c>
      <c r="AE6">
        <v>6.5</v>
      </c>
      <c r="AF6">
        <v>600</v>
      </c>
      <c r="AG6">
        <v>77</v>
      </c>
      <c r="AH6" s="8">
        <f t="shared" ref="AH6:AH35" si="1">(AF6/AG6)</f>
        <v>7.7922077922077921</v>
      </c>
      <c r="AI6" t="e">
        <f>VLOOKUP(F6,#REF!, 2, FALSE)</f>
        <v>#REF!</v>
      </c>
      <c r="AJ6" t="e">
        <f>VLOOKUP(F6,#REF!, 3, FALSE)</f>
        <v>#REF!</v>
      </c>
      <c r="AK6" s="17">
        <v>17.299999999999997</v>
      </c>
      <c r="AL6" s="15">
        <v>34.096692111959285</v>
      </c>
      <c r="AM6" s="15">
        <v>44.783715012722645</v>
      </c>
      <c r="AN6" s="15">
        <v>21.119592875318066</v>
      </c>
      <c r="AO6" s="20">
        <v>2.2999999999999998</v>
      </c>
      <c r="AP6" s="20">
        <v>3127000</v>
      </c>
      <c r="AQ6" s="20">
        <v>515000</v>
      </c>
      <c r="AR6" s="20">
        <v>265</v>
      </c>
      <c r="AS6" s="20">
        <v>9.6418732782369148</v>
      </c>
      <c r="AT6" s="7">
        <v>3.9758807375497698</v>
      </c>
      <c r="AU6" s="7">
        <v>-0.12638411359391499</v>
      </c>
      <c r="AV6" s="7">
        <v>-7.2820120168951199E-3</v>
      </c>
      <c r="AW6" s="7">
        <v>-4.9877048674608702E-2</v>
      </c>
      <c r="AX6" s="7">
        <v>-5.7055270514866099E-2</v>
      </c>
      <c r="AY6" s="7">
        <v>-2.9935256818404798E-3</v>
      </c>
      <c r="AZ6" s="7">
        <v>-9.17625670570495E-3</v>
      </c>
      <c r="BA6" s="4">
        <v>13</v>
      </c>
      <c r="BB6" s="4">
        <v>28</v>
      </c>
      <c r="BE6" s="2">
        <v>123</v>
      </c>
      <c r="BF6" s="3">
        <f t="shared" ref="BF6:BF34" si="2">BE6 / BG6 * 1000</f>
        <v>21.654929577464788</v>
      </c>
      <c r="BG6" s="9">
        <v>5680</v>
      </c>
      <c r="BH6">
        <v>2705</v>
      </c>
      <c r="BI6">
        <v>2975</v>
      </c>
      <c r="BJ6">
        <v>1050</v>
      </c>
      <c r="BK6">
        <v>610</v>
      </c>
      <c r="BL6">
        <v>1295</v>
      </c>
      <c r="BM6">
        <v>1345</v>
      </c>
      <c r="BN6">
        <v>1385</v>
      </c>
      <c r="BO6">
        <v>2695</v>
      </c>
      <c r="BP6">
        <v>2140</v>
      </c>
      <c r="BQ6">
        <v>525</v>
      </c>
      <c r="BR6">
        <v>315</v>
      </c>
      <c r="BS6">
        <v>3705</v>
      </c>
      <c r="BT6">
        <v>325</v>
      </c>
      <c r="BU6">
        <v>1650</v>
      </c>
      <c r="BV6">
        <v>3705</v>
      </c>
      <c r="BW6">
        <v>140</v>
      </c>
      <c r="BX6">
        <v>870</v>
      </c>
      <c r="BY6">
        <v>180</v>
      </c>
      <c r="BZ6">
        <v>780</v>
      </c>
      <c r="CA6" s="1">
        <v>2565</v>
      </c>
      <c r="CB6" s="1">
        <v>945</v>
      </c>
      <c r="CC6" s="1">
        <v>735</v>
      </c>
      <c r="CD6" s="1">
        <v>885</v>
      </c>
      <c r="CE6" s="1">
        <v>2.2000000000000002</v>
      </c>
      <c r="CF6" s="1" t="s">
        <v>304</v>
      </c>
      <c r="CG6" s="1" t="s">
        <v>305</v>
      </c>
      <c r="CH6" s="1" t="s">
        <v>306</v>
      </c>
      <c r="CI6" s="1" t="s">
        <v>307</v>
      </c>
      <c r="CJ6" s="1" t="s">
        <v>129</v>
      </c>
      <c r="CK6" s="1" t="s">
        <v>91</v>
      </c>
      <c r="CL6" s="1" t="s">
        <v>256</v>
      </c>
      <c r="CM6" s="1" t="s">
        <v>114</v>
      </c>
      <c r="CN6" s="1" t="s">
        <v>114</v>
      </c>
      <c r="CO6" s="1" t="s">
        <v>130</v>
      </c>
      <c r="CP6" s="1" t="s">
        <v>73</v>
      </c>
      <c r="CQ6" s="1" t="s">
        <v>215</v>
      </c>
      <c r="CR6" s="1" t="s">
        <v>308</v>
      </c>
      <c r="CS6" s="1" t="s">
        <v>309</v>
      </c>
      <c r="CT6" s="1" t="s">
        <v>149</v>
      </c>
      <c r="CU6" s="1" t="s">
        <v>113</v>
      </c>
      <c r="CV6" s="1" t="s">
        <v>114</v>
      </c>
      <c r="CW6" s="1">
        <v>625</v>
      </c>
      <c r="CX6" s="1">
        <v>5</v>
      </c>
      <c r="CY6" s="1">
        <v>110</v>
      </c>
      <c r="CZ6" s="1">
        <v>125</v>
      </c>
      <c r="DA6" s="1">
        <v>50</v>
      </c>
      <c r="DB6" s="1">
        <v>35</v>
      </c>
      <c r="DC6" s="1">
        <v>120</v>
      </c>
      <c r="DD6" s="1">
        <v>110</v>
      </c>
      <c r="DE6" s="1">
        <v>70</v>
      </c>
      <c r="DF6" s="1" t="s">
        <v>310</v>
      </c>
      <c r="DG6" s="1" t="s">
        <v>311</v>
      </c>
      <c r="DH6" s="1" t="s">
        <v>312</v>
      </c>
      <c r="DI6" s="1" t="s">
        <v>157</v>
      </c>
      <c r="DJ6" s="1" t="s">
        <v>313</v>
      </c>
      <c r="DK6" s="1" t="s">
        <v>314</v>
      </c>
      <c r="DL6">
        <v>80</v>
      </c>
      <c r="DM6">
        <v>77</v>
      </c>
      <c r="DN6">
        <v>3</v>
      </c>
      <c r="DO6" s="1">
        <v>1</v>
      </c>
      <c r="DP6" s="1">
        <v>2504</v>
      </c>
    </row>
    <row r="7" spans="1:133" x14ac:dyDescent="0.3">
      <c r="A7" s="57" t="s">
        <v>191</v>
      </c>
      <c r="B7" s="57" t="s">
        <v>192</v>
      </c>
      <c r="C7" s="57" t="s">
        <v>193</v>
      </c>
      <c r="D7" s="57" t="s">
        <v>194</v>
      </c>
      <c r="E7" s="57" t="s">
        <v>71</v>
      </c>
      <c r="F7" s="57" t="s">
        <v>191</v>
      </c>
      <c r="G7">
        <v>6115</v>
      </c>
      <c r="H7">
        <v>253</v>
      </c>
      <c r="I7">
        <v>48</v>
      </c>
      <c r="J7">
        <v>52</v>
      </c>
      <c r="K7">
        <v>91</v>
      </c>
      <c r="L7">
        <v>9</v>
      </c>
      <c r="M7">
        <v>4250</v>
      </c>
      <c r="N7">
        <v>1630</v>
      </c>
      <c r="O7">
        <v>560</v>
      </c>
      <c r="P7">
        <v>320</v>
      </c>
      <c r="Q7">
        <v>190</v>
      </c>
      <c r="R7" s="8">
        <f t="shared" si="0"/>
        <v>3.1071136549468519</v>
      </c>
      <c r="S7">
        <v>120</v>
      </c>
      <c r="T7">
        <v>30</v>
      </c>
      <c r="U7">
        <v>1320</v>
      </c>
      <c r="V7">
        <v>1770</v>
      </c>
      <c r="W7">
        <v>1520</v>
      </c>
      <c r="X7">
        <v>4900</v>
      </c>
      <c r="Y7" t="s">
        <v>590</v>
      </c>
      <c r="Z7" t="s">
        <v>591</v>
      </c>
      <c r="AA7">
        <v>80</v>
      </c>
      <c r="AB7">
        <v>50</v>
      </c>
      <c r="AC7">
        <v>20</v>
      </c>
      <c r="AD7">
        <v>510</v>
      </c>
      <c r="AE7">
        <v>6.1</v>
      </c>
      <c r="AF7">
        <v>665</v>
      </c>
      <c r="AG7">
        <v>89</v>
      </c>
      <c r="AH7" s="8">
        <f t="shared" si="1"/>
        <v>7.4719101123595504</v>
      </c>
      <c r="AI7" t="e">
        <f>VLOOKUP(F7,#REF!, 2, FALSE)</f>
        <v>#REF!</v>
      </c>
      <c r="AJ7" t="e">
        <f>VLOOKUP(F7,#REF!, 3, FALSE)</f>
        <v>#REF!</v>
      </c>
      <c r="AK7" s="17">
        <v>12.3</v>
      </c>
      <c r="AL7" s="15">
        <v>28.633405639913235</v>
      </c>
      <c r="AM7" s="15">
        <v>38.394793926247289</v>
      </c>
      <c r="AN7" s="15">
        <v>32.971800433839483</v>
      </c>
      <c r="AO7" s="20">
        <v>2.4</v>
      </c>
      <c r="AP7" s="20">
        <v>4038000</v>
      </c>
      <c r="AQ7" s="20">
        <v>591000</v>
      </c>
      <c r="AR7" s="20">
        <v>246</v>
      </c>
      <c r="AS7" s="20">
        <v>29.139072847682119</v>
      </c>
      <c r="AT7" s="7">
        <v>3.9493856412641901</v>
      </c>
      <c r="AU7" s="7">
        <v>-0.152879209879487</v>
      </c>
      <c r="AV7" s="7">
        <v>-3.7561379262545601E-3</v>
      </c>
      <c r="AW7" s="7">
        <v>-7.06676544512157E-2</v>
      </c>
      <c r="AX7" s="7">
        <v>-4.4616572117220199E-2</v>
      </c>
      <c r="AY7" s="7">
        <v>6.4233442410151697E-3</v>
      </c>
      <c r="AZ7" s="7">
        <v>-4.0262189625812003E-2</v>
      </c>
      <c r="BA7" s="4">
        <v>10</v>
      </c>
      <c r="BB7" s="4">
        <v>28</v>
      </c>
      <c r="BC7" s="4">
        <v>3</v>
      </c>
      <c r="BD7" s="4">
        <v>2</v>
      </c>
      <c r="BE7" s="2">
        <v>124</v>
      </c>
      <c r="BF7" s="3">
        <f t="shared" si="2"/>
        <v>20.195439739413683</v>
      </c>
      <c r="BG7" s="9">
        <v>6140</v>
      </c>
      <c r="BH7">
        <v>3045</v>
      </c>
      <c r="BI7">
        <v>3095</v>
      </c>
      <c r="BJ7">
        <v>1035</v>
      </c>
      <c r="BK7">
        <v>710</v>
      </c>
      <c r="BL7">
        <v>1815</v>
      </c>
      <c r="BM7">
        <v>1500</v>
      </c>
      <c r="BN7">
        <v>1075</v>
      </c>
      <c r="BO7">
        <v>3170</v>
      </c>
      <c r="BP7">
        <v>2125</v>
      </c>
      <c r="BQ7">
        <v>565</v>
      </c>
      <c r="BR7">
        <v>280</v>
      </c>
      <c r="BS7">
        <v>3810</v>
      </c>
      <c r="BT7">
        <v>595</v>
      </c>
      <c r="BU7">
        <v>1735</v>
      </c>
      <c r="BV7">
        <v>3805</v>
      </c>
      <c r="BW7">
        <v>185</v>
      </c>
      <c r="BX7">
        <v>895</v>
      </c>
      <c r="BY7">
        <v>410</v>
      </c>
      <c r="BZ7">
        <v>840</v>
      </c>
      <c r="CA7" s="1">
        <v>2970</v>
      </c>
      <c r="CB7" s="1">
        <v>1265</v>
      </c>
      <c r="CC7" s="1">
        <v>720</v>
      </c>
      <c r="CD7" s="1">
        <v>985</v>
      </c>
      <c r="CE7" s="1">
        <v>2.1</v>
      </c>
      <c r="CF7" s="1" t="s">
        <v>195</v>
      </c>
      <c r="CG7" s="1" t="s">
        <v>196</v>
      </c>
      <c r="CH7" s="1" t="s">
        <v>197</v>
      </c>
      <c r="CI7" s="1" t="s">
        <v>169</v>
      </c>
      <c r="CJ7" s="1" t="s">
        <v>198</v>
      </c>
      <c r="CK7" s="1" t="s">
        <v>199</v>
      </c>
      <c r="CL7" s="1" t="s">
        <v>200</v>
      </c>
      <c r="CM7" s="1" t="s">
        <v>114</v>
      </c>
      <c r="CN7" s="1" t="s">
        <v>114</v>
      </c>
      <c r="CO7" s="1" t="s">
        <v>201</v>
      </c>
      <c r="CP7" s="1" t="s">
        <v>200</v>
      </c>
      <c r="CQ7" s="1" t="s">
        <v>129</v>
      </c>
      <c r="CR7" s="1" t="s">
        <v>130</v>
      </c>
      <c r="CS7" s="1" t="s">
        <v>180</v>
      </c>
      <c r="CT7" s="1" t="s">
        <v>88</v>
      </c>
      <c r="CU7" s="1" t="s">
        <v>202</v>
      </c>
      <c r="CV7" s="1" t="s">
        <v>172</v>
      </c>
      <c r="CW7" s="1">
        <v>705</v>
      </c>
      <c r="CX7" s="1">
        <v>30</v>
      </c>
      <c r="CY7" s="1">
        <v>155</v>
      </c>
      <c r="CZ7" s="1">
        <v>115</v>
      </c>
      <c r="DA7" s="1">
        <v>40</v>
      </c>
      <c r="DB7" s="1">
        <v>20</v>
      </c>
      <c r="DC7" s="1">
        <v>135</v>
      </c>
      <c r="DD7" s="1">
        <v>125</v>
      </c>
      <c r="DE7" s="1">
        <v>85</v>
      </c>
      <c r="DF7" s="1" t="s">
        <v>203</v>
      </c>
      <c r="DG7" s="1" t="s">
        <v>204</v>
      </c>
      <c r="DH7" s="1" t="s">
        <v>205</v>
      </c>
      <c r="DI7" s="1" t="s">
        <v>157</v>
      </c>
      <c r="DJ7" s="1" t="s">
        <v>206</v>
      </c>
      <c r="DK7" s="1" t="s">
        <v>207</v>
      </c>
      <c r="DL7">
        <v>94</v>
      </c>
      <c r="DM7">
        <v>89</v>
      </c>
      <c r="DN7">
        <v>5</v>
      </c>
      <c r="DO7" s="1">
        <v>2</v>
      </c>
      <c r="DP7" s="1">
        <v>2093</v>
      </c>
    </row>
    <row r="8" spans="1:133" x14ac:dyDescent="0.3">
      <c r="A8" s="57" t="s">
        <v>333</v>
      </c>
      <c r="B8" s="57" t="s">
        <v>334</v>
      </c>
      <c r="C8" s="57" t="s">
        <v>471</v>
      </c>
      <c r="D8" s="57" t="s">
        <v>194</v>
      </c>
      <c r="E8" s="57" t="s">
        <v>71</v>
      </c>
      <c r="F8" s="57" t="s">
        <v>333</v>
      </c>
      <c r="G8">
        <v>7435</v>
      </c>
      <c r="H8">
        <v>305</v>
      </c>
      <c r="I8">
        <v>47</v>
      </c>
      <c r="J8">
        <v>53</v>
      </c>
      <c r="K8">
        <v>54</v>
      </c>
      <c r="L8">
        <v>46</v>
      </c>
      <c r="M8">
        <v>4350</v>
      </c>
      <c r="N8">
        <v>1740</v>
      </c>
      <c r="O8">
        <v>660</v>
      </c>
      <c r="P8">
        <v>380</v>
      </c>
      <c r="Q8">
        <v>190</v>
      </c>
      <c r="R8" s="8">
        <f t="shared" si="0"/>
        <v>2.5554808338937458</v>
      </c>
      <c r="S8">
        <v>140</v>
      </c>
      <c r="T8">
        <v>40</v>
      </c>
      <c r="U8">
        <v>1740</v>
      </c>
      <c r="V8">
        <v>2150</v>
      </c>
      <c r="W8">
        <v>1350</v>
      </c>
      <c r="X8">
        <v>5900</v>
      </c>
      <c r="Y8" t="s">
        <v>592</v>
      </c>
      <c r="Z8" t="s">
        <v>593</v>
      </c>
      <c r="AA8">
        <v>50</v>
      </c>
      <c r="AB8">
        <v>50</v>
      </c>
      <c r="AC8">
        <v>20</v>
      </c>
      <c r="AD8">
        <v>160</v>
      </c>
      <c r="AE8">
        <v>5.0999999999999996</v>
      </c>
      <c r="AF8">
        <v>940</v>
      </c>
      <c r="AG8">
        <v>136</v>
      </c>
      <c r="AH8" s="8">
        <f t="shared" si="1"/>
        <v>6.9117647058823533</v>
      </c>
      <c r="AI8" t="e">
        <f>VLOOKUP(F8,#REF!, 2, FALSE)</f>
        <v>#REF!</v>
      </c>
      <c r="AJ8" t="e">
        <f>VLOOKUP(F8,#REF!, 3, FALSE)</f>
        <v>#REF!</v>
      </c>
      <c r="AK8" s="17">
        <v>11</v>
      </c>
      <c r="AL8" s="15">
        <v>33.206106870229007</v>
      </c>
      <c r="AM8" s="15">
        <v>41.030534351145036</v>
      </c>
      <c r="AN8" s="15">
        <v>25.763358778625957</v>
      </c>
      <c r="AO8" s="20">
        <v>2.2999999999999998</v>
      </c>
      <c r="AP8" s="20">
        <v>11946000</v>
      </c>
      <c r="AQ8" s="20">
        <v>1098000</v>
      </c>
      <c r="AR8" s="20">
        <v>222</v>
      </c>
      <c r="AS8" s="20">
        <v>6.9977426636568847</v>
      </c>
      <c r="AT8" s="7">
        <v>3.9949133560218</v>
      </c>
      <c r="AU8" s="7">
        <v>-0.107351495121881</v>
      </c>
      <c r="AV8" s="7">
        <v>-2.1520478596203201E-2</v>
      </c>
      <c r="AW8" s="7">
        <v>-3.0406180210734698E-2</v>
      </c>
      <c r="AX8" s="7">
        <v>-2.1188856436465901E-2</v>
      </c>
      <c r="AY8" s="7">
        <v>-2.05803722987998E-2</v>
      </c>
      <c r="AZ8" s="7">
        <v>-1.36556075796777E-2</v>
      </c>
      <c r="BA8" s="4">
        <v>7</v>
      </c>
      <c r="BB8" s="4">
        <v>20</v>
      </c>
      <c r="BE8" s="2">
        <v>189</v>
      </c>
      <c r="BF8" s="3">
        <f t="shared" si="2"/>
        <v>24.901185770750988</v>
      </c>
      <c r="BG8" s="9">
        <v>7590</v>
      </c>
      <c r="BH8">
        <v>3670</v>
      </c>
      <c r="BI8">
        <v>3925</v>
      </c>
      <c r="BJ8">
        <v>1170</v>
      </c>
      <c r="BK8">
        <v>730</v>
      </c>
      <c r="BL8">
        <v>1685</v>
      </c>
      <c r="BM8">
        <v>1860</v>
      </c>
      <c r="BN8">
        <v>2155</v>
      </c>
      <c r="BO8">
        <v>3225</v>
      </c>
      <c r="BP8">
        <v>3170</v>
      </c>
      <c r="BQ8">
        <v>640</v>
      </c>
      <c r="BR8">
        <v>565</v>
      </c>
      <c r="BS8">
        <v>5160</v>
      </c>
      <c r="BT8">
        <v>485</v>
      </c>
      <c r="BU8">
        <v>1950</v>
      </c>
      <c r="BV8">
        <v>5160</v>
      </c>
      <c r="BW8">
        <v>225</v>
      </c>
      <c r="BX8">
        <v>965</v>
      </c>
      <c r="BY8">
        <v>260</v>
      </c>
      <c r="BZ8">
        <v>985</v>
      </c>
      <c r="CA8" s="1">
        <v>3490</v>
      </c>
      <c r="CB8" s="1">
        <v>1310</v>
      </c>
      <c r="CC8" s="1">
        <v>1065</v>
      </c>
      <c r="CD8" s="1">
        <v>1120</v>
      </c>
      <c r="CE8" s="1">
        <v>2.1</v>
      </c>
      <c r="CF8" s="1" t="s">
        <v>335</v>
      </c>
      <c r="CG8" s="1" t="s">
        <v>336</v>
      </c>
      <c r="CH8" s="1" t="s">
        <v>337</v>
      </c>
      <c r="CI8" s="1" t="s">
        <v>338</v>
      </c>
      <c r="CJ8" s="1" t="s">
        <v>184</v>
      </c>
      <c r="CK8" s="1" t="s">
        <v>215</v>
      </c>
      <c r="CL8" s="1" t="s">
        <v>147</v>
      </c>
      <c r="CM8" s="1" t="s">
        <v>114</v>
      </c>
      <c r="CN8" s="1" t="s">
        <v>76</v>
      </c>
      <c r="CO8" s="1" t="s">
        <v>183</v>
      </c>
      <c r="CP8" s="1" t="s">
        <v>108</v>
      </c>
      <c r="CQ8" s="1" t="s">
        <v>89</v>
      </c>
      <c r="CR8" s="1" t="s">
        <v>90</v>
      </c>
      <c r="CS8" s="1" t="s">
        <v>129</v>
      </c>
      <c r="CT8" s="1" t="s">
        <v>73</v>
      </c>
      <c r="CU8" s="1" t="s">
        <v>285</v>
      </c>
      <c r="CV8" s="1" t="s">
        <v>253</v>
      </c>
      <c r="CW8" s="1">
        <v>1025</v>
      </c>
      <c r="CX8" s="1">
        <v>15</v>
      </c>
      <c r="CY8" s="1">
        <v>195</v>
      </c>
      <c r="CZ8" s="1">
        <v>245</v>
      </c>
      <c r="DA8" s="1">
        <v>80</v>
      </c>
      <c r="DB8" s="1">
        <v>60</v>
      </c>
      <c r="DC8" s="1">
        <v>205</v>
      </c>
      <c r="DD8" s="1">
        <v>155</v>
      </c>
      <c r="DE8" s="1">
        <v>75</v>
      </c>
      <c r="DF8" s="1" t="s">
        <v>339</v>
      </c>
      <c r="DG8" s="1" t="s">
        <v>340</v>
      </c>
      <c r="DH8" s="1" t="s">
        <v>341</v>
      </c>
      <c r="DI8" s="1" t="s">
        <v>135</v>
      </c>
      <c r="DJ8" s="1" t="s">
        <v>342</v>
      </c>
      <c r="DK8" s="1" t="s">
        <v>207</v>
      </c>
      <c r="DL8">
        <v>179</v>
      </c>
      <c r="DM8">
        <v>136</v>
      </c>
      <c r="DN8">
        <v>44</v>
      </c>
      <c r="DO8" s="1">
        <v>2</v>
      </c>
      <c r="DP8" s="1">
        <v>2349</v>
      </c>
    </row>
    <row r="9" spans="1:133" x14ac:dyDescent="0.3">
      <c r="A9" s="57" t="s">
        <v>356</v>
      </c>
      <c r="B9" s="57" t="s">
        <v>357</v>
      </c>
      <c r="C9" s="57" t="s">
        <v>473</v>
      </c>
      <c r="D9" s="57" t="s">
        <v>194</v>
      </c>
      <c r="E9" s="57" t="s">
        <v>71</v>
      </c>
      <c r="F9" s="57" t="s">
        <v>356</v>
      </c>
      <c r="G9">
        <v>6820</v>
      </c>
      <c r="H9">
        <v>315</v>
      </c>
      <c r="I9">
        <v>62</v>
      </c>
      <c r="J9">
        <v>38</v>
      </c>
      <c r="K9">
        <v>69</v>
      </c>
      <c r="L9">
        <v>31</v>
      </c>
      <c r="M9">
        <v>4160</v>
      </c>
      <c r="N9">
        <v>1040</v>
      </c>
      <c r="O9">
        <v>600</v>
      </c>
      <c r="P9">
        <v>320</v>
      </c>
      <c r="Q9">
        <v>180</v>
      </c>
      <c r="R9" s="8">
        <f t="shared" si="0"/>
        <v>2.6392961876832843</v>
      </c>
      <c r="S9">
        <v>160</v>
      </c>
      <c r="T9">
        <v>50</v>
      </c>
      <c r="U9">
        <v>1600</v>
      </c>
      <c r="V9">
        <v>1860</v>
      </c>
      <c r="W9">
        <v>1250</v>
      </c>
      <c r="X9">
        <v>5500</v>
      </c>
      <c r="Y9" t="s">
        <v>594</v>
      </c>
      <c r="Z9" t="s">
        <v>592</v>
      </c>
      <c r="AA9">
        <v>0</v>
      </c>
      <c r="AB9">
        <v>0</v>
      </c>
      <c r="AC9">
        <v>0</v>
      </c>
      <c r="AD9">
        <v>40</v>
      </c>
      <c r="AE9">
        <v>5.9</v>
      </c>
      <c r="AF9">
        <v>510</v>
      </c>
      <c r="AG9">
        <v>98</v>
      </c>
      <c r="AH9" s="8">
        <f t="shared" si="1"/>
        <v>5.204081632653061</v>
      </c>
      <c r="AI9" t="e">
        <f>VLOOKUP(F9,#REF!, 2, FALSE)</f>
        <v>#REF!</v>
      </c>
      <c r="AJ9" t="e">
        <f>VLOOKUP(F9,#REF!, 3, FALSE)</f>
        <v>#REF!</v>
      </c>
      <c r="AK9" s="17">
        <v>6.7</v>
      </c>
      <c r="AL9" s="15">
        <v>33.970276008492569</v>
      </c>
      <c r="AM9" s="15">
        <v>39.490445859872615</v>
      </c>
      <c r="AN9" s="15">
        <v>26.53927813163482</v>
      </c>
      <c r="AO9" s="20">
        <v>2.1</v>
      </c>
      <c r="AP9" s="20">
        <v>2057000</v>
      </c>
      <c r="AQ9" s="20">
        <v>360000</v>
      </c>
      <c r="AR9" s="20">
        <v>252</v>
      </c>
      <c r="AS9" s="20">
        <v>17.086834733893557</v>
      </c>
      <c r="AT9" s="7">
        <v>3.9760702846182001</v>
      </c>
      <c r="AU9" s="7">
        <v>-0.126194566525476</v>
      </c>
      <c r="AV9" s="7">
        <v>-2.70284463686234E-2</v>
      </c>
      <c r="AW9" s="7">
        <v>6.4883292019107704E-3</v>
      </c>
      <c r="AX9" s="7">
        <v>-2.4109328615403498E-2</v>
      </c>
      <c r="AY9" s="7">
        <v>-5.95617207475111E-2</v>
      </c>
      <c r="AZ9" s="7">
        <v>-2.1983399995849001E-2</v>
      </c>
      <c r="BA9" s="4">
        <v>6</v>
      </c>
      <c r="BB9" s="4">
        <v>13</v>
      </c>
      <c r="BD9" s="4">
        <v>1</v>
      </c>
      <c r="BE9" s="2">
        <v>81</v>
      </c>
      <c r="BF9" s="3">
        <f t="shared" si="2"/>
        <v>12.098581030619865</v>
      </c>
      <c r="BG9" s="9">
        <v>6695</v>
      </c>
      <c r="BH9">
        <v>3260</v>
      </c>
      <c r="BI9">
        <v>3430</v>
      </c>
      <c r="BJ9">
        <v>1100</v>
      </c>
      <c r="BK9">
        <v>725</v>
      </c>
      <c r="BL9">
        <v>1625</v>
      </c>
      <c r="BM9">
        <v>1540</v>
      </c>
      <c r="BN9">
        <v>1705</v>
      </c>
      <c r="BO9">
        <v>2850</v>
      </c>
      <c r="BP9">
        <v>2980</v>
      </c>
      <c r="BQ9">
        <v>450</v>
      </c>
      <c r="BR9">
        <v>405</v>
      </c>
      <c r="BS9">
        <v>4470</v>
      </c>
      <c r="BT9">
        <v>505</v>
      </c>
      <c r="BU9">
        <v>1720</v>
      </c>
      <c r="BV9">
        <v>4475</v>
      </c>
      <c r="BW9">
        <v>225</v>
      </c>
      <c r="BX9">
        <v>905</v>
      </c>
      <c r="BY9">
        <v>280</v>
      </c>
      <c r="BZ9">
        <v>810</v>
      </c>
      <c r="CA9" s="1">
        <v>2945</v>
      </c>
      <c r="CB9" s="1">
        <v>960</v>
      </c>
      <c r="CC9" s="1">
        <v>970</v>
      </c>
      <c r="CD9" s="1">
        <v>1010</v>
      </c>
      <c r="CE9" s="1">
        <v>2.2999999999999998</v>
      </c>
      <c r="CF9" s="1" t="s">
        <v>358</v>
      </c>
      <c r="CG9" s="1" t="s">
        <v>359</v>
      </c>
      <c r="CH9" s="1" t="s">
        <v>216</v>
      </c>
      <c r="CI9" s="1" t="s">
        <v>360</v>
      </c>
      <c r="CJ9" s="1" t="s">
        <v>180</v>
      </c>
      <c r="CK9" s="1" t="s">
        <v>241</v>
      </c>
      <c r="CL9" s="1" t="s">
        <v>200</v>
      </c>
      <c r="CM9" s="1" t="s">
        <v>114</v>
      </c>
      <c r="CN9" s="1" t="s">
        <v>114</v>
      </c>
      <c r="CO9" s="1" t="s">
        <v>182</v>
      </c>
      <c r="CP9" s="1" t="s">
        <v>73</v>
      </c>
      <c r="CQ9" s="1" t="s">
        <v>361</v>
      </c>
      <c r="CR9" s="1" t="s">
        <v>211</v>
      </c>
      <c r="CS9" s="1" t="s">
        <v>362</v>
      </c>
      <c r="CT9" s="1" t="s">
        <v>172</v>
      </c>
      <c r="CU9" s="1" t="s">
        <v>257</v>
      </c>
      <c r="CV9" s="1" t="s">
        <v>88</v>
      </c>
      <c r="CW9" s="1">
        <v>565</v>
      </c>
      <c r="CX9" s="1">
        <v>15</v>
      </c>
      <c r="CY9" s="1">
        <v>105</v>
      </c>
      <c r="CZ9" s="1">
        <v>65</v>
      </c>
      <c r="DA9" s="1">
        <v>40</v>
      </c>
      <c r="DB9" s="1">
        <v>20</v>
      </c>
      <c r="DC9" s="1">
        <v>140</v>
      </c>
      <c r="DD9" s="1">
        <v>115</v>
      </c>
      <c r="DE9" s="1">
        <v>65</v>
      </c>
      <c r="DF9" s="1" t="s">
        <v>363</v>
      </c>
      <c r="DG9" s="1" t="s">
        <v>364</v>
      </c>
      <c r="DH9" s="1" t="s">
        <v>365</v>
      </c>
      <c r="DI9" s="1" t="s">
        <v>366</v>
      </c>
      <c r="DJ9" s="1" t="s">
        <v>367</v>
      </c>
      <c r="DK9" s="1" t="s">
        <v>277</v>
      </c>
      <c r="DL9">
        <v>126</v>
      </c>
      <c r="DM9">
        <v>98</v>
      </c>
      <c r="DN9">
        <v>28</v>
      </c>
      <c r="DO9" s="1">
        <v>2</v>
      </c>
      <c r="DP9" s="1">
        <v>1981</v>
      </c>
    </row>
    <row r="10" spans="1:133" x14ac:dyDescent="0.3">
      <c r="A10" s="57" t="s">
        <v>391</v>
      </c>
      <c r="B10" s="57" t="s">
        <v>392</v>
      </c>
      <c r="C10" s="57" t="s">
        <v>476</v>
      </c>
      <c r="D10" s="57" t="s">
        <v>194</v>
      </c>
      <c r="E10" s="57" t="s">
        <v>71</v>
      </c>
      <c r="F10" s="57" t="s">
        <v>391</v>
      </c>
      <c r="G10">
        <v>4880</v>
      </c>
      <c r="H10">
        <v>333</v>
      </c>
      <c r="I10">
        <v>78</v>
      </c>
      <c r="J10">
        <v>22</v>
      </c>
      <c r="K10">
        <v>100</v>
      </c>
      <c r="L10">
        <v>0</v>
      </c>
      <c r="O10">
        <v>360</v>
      </c>
      <c r="P10">
        <v>230</v>
      </c>
      <c r="Q10">
        <v>110</v>
      </c>
      <c r="R10" s="8">
        <f t="shared" si="0"/>
        <v>2.2540983606557377</v>
      </c>
      <c r="S10">
        <v>100</v>
      </c>
      <c r="T10">
        <v>50</v>
      </c>
      <c r="U10">
        <v>1100</v>
      </c>
      <c r="V10">
        <v>1650</v>
      </c>
      <c r="W10">
        <v>920</v>
      </c>
      <c r="X10">
        <v>4000</v>
      </c>
      <c r="Y10" t="s">
        <v>595</v>
      </c>
      <c r="Z10" t="s">
        <v>465</v>
      </c>
      <c r="AA10">
        <v>110</v>
      </c>
      <c r="AB10">
        <v>100</v>
      </c>
      <c r="AC10">
        <v>30</v>
      </c>
      <c r="AD10">
        <v>440</v>
      </c>
      <c r="AE10">
        <v>4</v>
      </c>
      <c r="AF10">
        <v>415</v>
      </c>
      <c r="AG10">
        <v>106</v>
      </c>
      <c r="AH10" s="8">
        <f t="shared" si="1"/>
        <v>3.9150943396226414</v>
      </c>
      <c r="AI10" t="e">
        <f>VLOOKUP(F10,#REF!, 2, FALSE)</f>
        <v>#REF!</v>
      </c>
      <c r="AJ10" t="e">
        <f>VLOOKUP(F10,#REF!, 3, FALSE)</f>
        <v>#REF!</v>
      </c>
      <c r="AK10" s="17">
        <v>3.5999999999999996</v>
      </c>
      <c r="AL10" s="15">
        <v>29.972752043596728</v>
      </c>
      <c r="AM10" s="15">
        <v>44.959128065395092</v>
      </c>
      <c r="AN10" s="15">
        <v>25.068119891008173</v>
      </c>
      <c r="AO10" s="20">
        <v>1.7</v>
      </c>
      <c r="AP10" s="20">
        <v>2334000</v>
      </c>
      <c r="AQ10" s="20">
        <v>245000</v>
      </c>
      <c r="AR10" s="20">
        <v>270</v>
      </c>
      <c r="AS10" s="20">
        <v>0.48309178743961351</v>
      </c>
      <c r="AT10" s="7">
        <v>4.0457090383911396</v>
      </c>
      <c r="AU10" s="7">
        <v>-5.6555812752538903E-2</v>
      </c>
      <c r="AV10" s="7">
        <v>-1.3121707060834401E-3</v>
      </c>
      <c r="AW10" s="7">
        <v>2.16318561094072E-2</v>
      </c>
      <c r="AX10" s="7">
        <v>-2.9362166468598198E-3</v>
      </c>
      <c r="AY10" s="7">
        <v>-8.6250127070103294E-2</v>
      </c>
      <c r="AZ10" s="7">
        <v>1.2310845561100099E-2</v>
      </c>
      <c r="BA10" s="4">
        <v>2</v>
      </c>
      <c r="BB10" s="4">
        <v>14</v>
      </c>
      <c r="BE10" s="2">
        <v>96</v>
      </c>
      <c r="BF10" s="3">
        <f t="shared" si="2"/>
        <v>19.692307692307693</v>
      </c>
      <c r="BG10" s="9">
        <v>4875</v>
      </c>
      <c r="BH10">
        <v>2460</v>
      </c>
      <c r="BI10">
        <v>2415</v>
      </c>
      <c r="BJ10">
        <v>715</v>
      </c>
      <c r="BK10">
        <v>485</v>
      </c>
      <c r="BL10">
        <v>1050</v>
      </c>
      <c r="BM10">
        <v>1390</v>
      </c>
      <c r="BN10">
        <v>1235</v>
      </c>
      <c r="BO10">
        <v>1935</v>
      </c>
      <c r="BP10">
        <v>2365</v>
      </c>
      <c r="BQ10">
        <v>330</v>
      </c>
      <c r="BR10">
        <v>250</v>
      </c>
      <c r="BS10">
        <v>3735</v>
      </c>
      <c r="BT10">
        <v>440</v>
      </c>
      <c r="BU10">
        <v>705</v>
      </c>
      <c r="BV10">
        <v>3730</v>
      </c>
      <c r="BW10">
        <v>190</v>
      </c>
      <c r="BX10">
        <v>410</v>
      </c>
      <c r="BY10">
        <v>250</v>
      </c>
      <c r="BZ10">
        <v>295</v>
      </c>
      <c r="CA10" s="1">
        <v>2035</v>
      </c>
      <c r="CB10" s="1">
        <v>470</v>
      </c>
      <c r="CC10" s="1">
        <v>810</v>
      </c>
      <c r="CD10" s="1">
        <v>760</v>
      </c>
      <c r="CE10" s="1">
        <v>2.2999999999999998</v>
      </c>
      <c r="CF10" s="1" t="s">
        <v>393</v>
      </c>
      <c r="CG10" s="1" t="s">
        <v>394</v>
      </c>
      <c r="CH10" s="1" t="s">
        <v>395</v>
      </c>
      <c r="CI10" s="1" t="s">
        <v>231</v>
      </c>
      <c r="CJ10" s="1" t="s">
        <v>285</v>
      </c>
      <c r="CK10" s="1" t="s">
        <v>396</v>
      </c>
      <c r="CL10" s="1" t="s">
        <v>146</v>
      </c>
      <c r="CM10" s="1" t="s">
        <v>76</v>
      </c>
      <c r="CN10" s="1" t="s">
        <v>76</v>
      </c>
      <c r="CO10" s="1" t="s">
        <v>253</v>
      </c>
      <c r="CP10" s="1" t="s">
        <v>86</v>
      </c>
      <c r="CQ10" s="1" t="s">
        <v>397</v>
      </c>
      <c r="CR10" s="1" t="s">
        <v>398</v>
      </c>
      <c r="CS10" s="1" t="s">
        <v>271</v>
      </c>
      <c r="CT10" s="1" t="s">
        <v>73</v>
      </c>
      <c r="CU10" s="1" t="s">
        <v>167</v>
      </c>
      <c r="CV10" s="1" t="s">
        <v>76</v>
      </c>
      <c r="CW10" s="1">
        <v>430</v>
      </c>
      <c r="CX10" s="1">
        <v>15</v>
      </c>
      <c r="CY10" s="1">
        <v>105</v>
      </c>
      <c r="CZ10" s="1">
        <v>45</v>
      </c>
      <c r="DA10" s="1">
        <v>45</v>
      </c>
      <c r="DB10" s="1">
        <v>10</v>
      </c>
      <c r="DC10" s="1">
        <v>95</v>
      </c>
      <c r="DD10" s="1">
        <v>65</v>
      </c>
      <c r="DE10" s="1">
        <v>50</v>
      </c>
      <c r="DF10" s="1" t="s">
        <v>399</v>
      </c>
      <c r="DG10" s="1" t="s">
        <v>400</v>
      </c>
      <c r="DH10" s="1" t="s">
        <v>401</v>
      </c>
      <c r="DI10" s="1" t="s">
        <v>402</v>
      </c>
      <c r="DJ10" s="1" t="s">
        <v>403</v>
      </c>
      <c r="DK10" s="1" t="s">
        <v>404</v>
      </c>
      <c r="DL10">
        <v>124</v>
      </c>
      <c r="DM10">
        <v>106</v>
      </c>
      <c r="DN10">
        <v>18</v>
      </c>
      <c r="DO10" s="1">
        <v>3</v>
      </c>
      <c r="DP10" s="1">
        <v>1251</v>
      </c>
    </row>
    <row r="11" spans="1:133" x14ac:dyDescent="0.3">
      <c r="A11" s="57" t="s">
        <v>405</v>
      </c>
      <c r="B11" s="57" t="s">
        <v>406</v>
      </c>
      <c r="C11" s="57" t="s">
        <v>477</v>
      </c>
      <c r="D11" s="57" t="s">
        <v>194</v>
      </c>
      <c r="E11" s="57" t="s">
        <v>71</v>
      </c>
      <c r="F11" s="57" t="s">
        <v>405</v>
      </c>
      <c r="G11">
        <v>140</v>
      </c>
      <c r="H11">
        <v>752</v>
      </c>
      <c r="I11">
        <v>96</v>
      </c>
      <c r="J11">
        <v>4</v>
      </c>
      <c r="K11">
        <v>83</v>
      </c>
      <c r="L11">
        <v>17</v>
      </c>
      <c r="M11">
        <v>4070</v>
      </c>
      <c r="N11">
        <v>1530</v>
      </c>
      <c r="O11">
        <v>10</v>
      </c>
      <c r="P11">
        <v>0</v>
      </c>
      <c r="Q11">
        <v>0</v>
      </c>
      <c r="R11" s="8"/>
      <c r="S11">
        <v>0</v>
      </c>
      <c r="T11">
        <v>0</v>
      </c>
      <c r="X11">
        <v>100</v>
      </c>
      <c r="AA11">
        <v>20</v>
      </c>
      <c r="AB11">
        <v>70</v>
      </c>
      <c r="AC11">
        <v>20</v>
      </c>
      <c r="AD11">
        <v>680</v>
      </c>
      <c r="AF11">
        <v>80</v>
      </c>
      <c r="AG11">
        <v>184</v>
      </c>
      <c r="AH11" s="8">
        <f t="shared" si="1"/>
        <v>0.43478260869565216</v>
      </c>
      <c r="AK11" s="17"/>
      <c r="AL11" s="15"/>
      <c r="AM11" s="15"/>
      <c r="AN11" s="15"/>
      <c r="AO11" s="20">
        <v>0.1</v>
      </c>
      <c r="AP11" s="20">
        <v>4648000</v>
      </c>
      <c r="AQ11" s="20">
        <v>0</v>
      </c>
      <c r="AR11" s="20">
        <v>399</v>
      </c>
      <c r="AS11" s="20">
        <v>33.333333333333329</v>
      </c>
      <c r="AT11" s="7">
        <v>4.3117838624754299</v>
      </c>
      <c r="AU11" s="7">
        <v>0.209519011331744</v>
      </c>
      <c r="AV11" s="7">
        <v>-2.08986694937753E-2</v>
      </c>
      <c r="AW11" s="7">
        <v>7.6647960389103806E-2</v>
      </c>
      <c r="AX11" s="7">
        <v>9.7317317345068696E-2</v>
      </c>
      <c r="AY11" s="7">
        <v>-5.3872938187255602E-2</v>
      </c>
      <c r="AZ11" s="7">
        <v>0.110325341278602</v>
      </c>
      <c r="BE11" s="2">
        <v>8</v>
      </c>
      <c r="BF11" s="3">
        <f t="shared" si="2"/>
        <v>59.25925925925926</v>
      </c>
      <c r="BG11" s="9">
        <v>135</v>
      </c>
      <c r="BH11">
        <v>70</v>
      </c>
      <c r="BI11">
        <v>65</v>
      </c>
      <c r="BJ11">
        <v>20</v>
      </c>
      <c r="BK11">
        <v>15</v>
      </c>
      <c r="BL11">
        <v>20</v>
      </c>
      <c r="BM11">
        <v>45</v>
      </c>
      <c r="BN11">
        <v>40</v>
      </c>
      <c r="BO11">
        <v>50</v>
      </c>
      <c r="BP11">
        <v>70</v>
      </c>
      <c r="BQ11">
        <v>10</v>
      </c>
      <c r="BR11">
        <v>5</v>
      </c>
      <c r="BS11">
        <v>120</v>
      </c>
      <c r="BT11">
        <v>5</v>
      </c>
      <c r="BU11">
        <v>5</v>
      </c>
      <c r="BV11">
        <v>125</v>
      </c>
      <c r="BW11">
        <v>0</v>
      </c>
      <c r="BX11">
        <v>5</v>
      </c>
      <c r="BY11">
        <v>5</v>
      </c>
      <c r="BZ11">
        <v>0</v>
      </c>
      <c r="CA11" s="1">
        <v>55</v>
      </c>
      <c r="CB11" s="1">
        <v>10</v>
      </c>
      <c r="CC11" s="1">
        <v>25</v>
      </c>
      <c r="CD11" s="1">
        <v>20</v>
      </c>
      <c r="CE11" s="1">
        <v>2.4</v>
      </c>
      <c r="CF11" s="1" t="s">
        <v>111</v>
      </c>
      <c r="CG11" s="1" t="s">
        <v>151</v>
      </c>
      <c r="CH11" s="1" t="s">
        <v>407</v>
      </c>
      <c r="CI11" s="1" t="s">
        <v>408</v>
      </c>
      <c r="CJ11" s="1" t="s">
        <v>257</v>
      </c>
      <c r="CK11" s="1" t="s">
        <v>108</v>
      </c>
      <c r="CL11" s="1" t="s">
        <v>149</v>
      </c>
      <c r="CM11" s="1" t="s">
        <v>317</v>
      </c>
      <c r="CN11" s="1" t="s">
        <v>327</v>
      </c>
      <c r="CO11" s="1" t="s">
        <v>88</v>
      </c>
      <c r="CP11" s="1" t="s">
        <v>149</v>
      </c>
      <c r="CQ11" s="1" t="s">
        <v>186</v>
      </c>
      <c r="CR11" s="1" t="s">
        <v>149</v>
      </c>
      <c r="CS11" s="1" t="s">
        <v>76</v>
      </c>
      <c r="CT11" s="1" t="s">
        <v>149</v>
      </c>
      <c r="CU11" s="1" t="s">
        <v>352</v>
      </c>
      <c r="CV11" s="1" t="s">
        <v>86</v>
      </c>
      <c r="CW11" s="1">
        <v>85</v>
      </c>
      <c r="CX11" s="1">
        <v>5</v>
      </c>
      <c r="CY11" s="1">
        <v>10</v>
      </c>
      <c r="CZ11" s="1">
        <v>15</v>
      </c>
      <c r="DA11" s="1">
        <v>10</v>
      </c>
      <c r="DB11" s="1">
        <v>5</v>
      </c>
      <c r="DC11" s="1">
        <v>25</v>
      </c>
      <c r="DD11" s="1">
        <v>5</v>
      </c>
      <c r="DE11" s="1">
        <v>5</v>
      </c>
      <c r="DF11" s="1" t="s">
        <v>170</v>
      </c>
      <c r="DG11" s="1" t="s">
        <v>409</v>
      </c>
      <c r="DH11" s="1" t="s">
        <v>91</v>
      </c>
      <c r="DI11" s="1" t="s">
        <v>410</v>
      </c>
      <c r="DJ11" s="1" t="s">
        <v>309</v>
      </c>
      <c r="DK11" s="1" t="s">
        <v>172</v>
      </c>
      <c r="DL11">
        <v>226</v>
      </c>
      <c r="DM11">
        <v>184</v>
      </c>
      <c r="DN11">
        <v>42</v>
      </c>
      <c r="DO11" s="1">
        <v>4</v>
      </c>
      <c r="DP11" s="1">
        <v>990</v>
      </c>
    </row>
    <row r="12" spans="1:133" x14ac:dyDescent="0.3">
      <c r="A12" s="57" t="s">
        <v>429</v>
      </c>
      <c r="B12" s="57" t="s">
        <v>430</v>
      </c>
      <c r="C12" s="57" t="s">
        <v>480</v>
      </c>
      <c r="D12" s="57" t="s">
        <v>194</v>
      </c>
      <c r="E12" s="57" t="s">
        <v>71</v>
      </c>
      <c r="F12" s="57" t="s">
        <v>429</v>
      </c>
      <c r="G12">
        <v>1440</v>
      </c>
      <c r="H12">
        <v>575</v>
      </c>
      <c r="I12">
        <v>79</v>
      </c>
      <c r="J12">
        <v>21</v>
      </c>
      <c r="K12">
        <v>7</v>
      </c>
      <c r="L12">
        <v>93</v>
      </c>
      <c r="M12">
        <v>4760</v>
      </c>
      <c r="N12">
        <v>1070</v>
      </c>
      <c r="O12">
        <v>220</v>
      </c>
      <c r="P12">
        <v>130</v>
      </c>
      <c r="Q12">
        <v>50</v>
      </c>
      <c r="R12" s="8">
        <f t="shared" si="0"/>
        <v>3.4722222222222223</v>
      </c>
      <c r="S12">
        <v>40</v>
      </c>
      <c r="T12">
        <v>20</v>
      </c>
      <c r="U12">
        <v>210</v>
      </c>
      <c r="V12">
        <v>520</v>
      </c>
      <c r="W12">
        <v>440</v>
      </c>
      <c r="X12">
        <v>1000</v>
      </c>
      <c r="Y12" t="s">
        <v>171</v>
      </c>
      <c r="Z12" t="s">
        <v>171</v>
      </c>
      <c r="AE12">
        <v>3.7</v>
      </c>
      <c r="AF12">
        <v>160</v>
      </c>
      <c r="AG12">
        <v>108</v>
      </c>
      <c r="AH12" s="8">
        <f t="shared" si="1"/>
        <v>1.4814814814814814</v>
      </c>
      <c r="AI12" t="e">
        <f>VLOOKUP(F12,#REF!, 2, FALSE)</f>
        <v>#REF!</v>
      </c>
      <c r="AJ12" t="e">
        <f>VLOOKUP(F12,#REF!, 3, FALSE)</f>
        <v>#REF!</v>
      </c>
      <c r="AK12" s="17">
        <v>3.2</v>
      </c>
      <c r="AL12" s="15">
        <v>17.948717948717949</v>
      </c>
      <c r="AM12" s="15">
        <v>44.444444444444443</v>
      </c>
      <c r="AN12" s="15">
        <v>37.606837606837608</v>
      </c>
      <c r="AO12" s="20">
        <v>0.2</v>
      </c>
      <c r="AP12" s="20">
        <v>4285000</v>
      </c>
      <c r="AQ12" s="20">
        <v>0</v>
      </c>
      <c r="AR12" s="20">
        <v>207</v>
      </c>
      <c r="AS12" s="20">
        <v>1.7857142857142856</v>
      </c>
      <c r="AT12" s="7">
        <v>4.1706633663257904</v>
      </c>
      <c r="AU12" s="7">
        <v>6.8398515182110806E-2</v>
      </c>
      <c r="AV12" s="7">
        <v>-2.7146863418337001E-2</v>
      </c>
      <c r="AW12" s="7">
        <v>6.7422489516298506E-2</v>
      </c>
      <c r="AX12" s="7">
        <v>7.1275560182547298E-2</v>
      </c>
      <c r="AY12" s="7">
        <v>-8.0393517846477996E-2</v>
      </c>
      <c r="AZ12" s="7">
        <v>3.7240846748079703E-2</v>
      </c>
      <c r="BB12" s="4">
        <v>7</v>
      </c>
      <c r="BE12" s="2">
        <v>18</v>
      </c>
      <c r="BF12" s="3">
        <f t="shared" si="2"/>
        <v>9.9447513812154682</v>
      </c>
      <c r="BG12" s="9">
        <v>1810</v>
      </c>
      <c r="BH12">
        <v>880</v>
      </c>
      <c r="BI12">
        <v>930</v>
      </c>
      <c r="BJ12">
        <v>465</v>
      </c>
      <c r="BK12">
        <v>235</v>
      </c>
      <c r="BL12">
        <v>545</v>
      </c>
      <c r="BM12">
        <v>425</v>
      </c>
      <c r="BN12">
        <v>130</v>
      </c>
      <c r="BO12">
        <v>960</v>
      </c>
      <c r="BP12">
        <v>755</v>
      </c>
      <c r="BQ12">
        <v>75</v>
      </c>
      <c r="BR12">
        <v>20</v>
      </c>
      <c r="BS12">
        <v>1365</v>
      </c>
      <c r="BT12">
        <v>160</v>
      </c>
      <c r="BU12">
        <v>285</v>
      </c>
      <c r="BV12">
        <v>1360</v>
      </c>
      <c r="BW12">
        <v>50</v>
      </c>
      <c r="BX12">
        <v>205</v>
      </c>
      <c r="BY12">
        <v>110</v>
      </c>
      <c r="BZ12">
        <v>80</v>
      </c>
      <c r="CA12" s="1">
        <v>585</v>
      </c>
      <c r="CB12" s="1">
        <v>50</v>
      </c>
      <c r="CC12" s="1">
        <v>150</v>
      </c>
      <c r="CD12" s="1">
        <v>380</v>
      </c>
      <c r="CE12" s="1">
        <v>3.1</v>
      </c>
      <c r="CF12" s="1" t="s">
        <v>431</v>
      </c>
      <c r="CG12" s="1" t="s">
        <v>432</v>
      </c>
      <c r="CH12" s="1" t="s">
        <v>269</v>
      </c>
      <c r="CI12" s="1" t="s">
        <v>433</v>
      </c>
      <c r="CJ12" s="1" t="s">
        <v>434</v>
      </c>
      <c r="CK12" s="1" t="s">
        <v>241</v>
      </c>
      <c r="CL12" s="1" t="s">
        <v>146</v>
      </c>
      <c r="CM12" s="1" t="s">
        <v>92</v>
      </c>
      <c r="CN12" s="1" t="s">
        <v>374</v>
      </c>
      <c r="CO12" s="1" t="s">
        <v>152</v>
      </c>
      <c r="CP12" s="1" t="s">
        <v>108</v>
      </c>
      <c r="CQ12" s="1" t="s">
        <v>111</v>
      </c>
      <c r="CR12" s="1" t="s">
        <v>110</v>
      </c>
      <c r="CS12" s="1" t="s">
        <v>147</v>
      </c>
      <c r="CT12" s="1" t="s">
        <v>374</v>
      </c>
      <c r="CU12" s="1" t="s">
        <v>88</v>
      </c>
      <c r="CV12" s="1" t="s">
        <v>257</v>
      </c>
      <c r="CW12" s="1">
        <v>200</v>
      </c>
      <c r="CX12" s="1">
        <v>0</v>
      </c>
      <c r="CY12" s="1">
        <v>25</v>
      </c>
      <c r="CZ12" s="1">
        <v>30</v>
      </c>
      <c r="DA12" s="1">
        <v>15</v>
      </c>
      <c r="DB12" s="1">
        <v>25</v>
      </c>
      <c r="DC12" s="1">
        <v>65</v>
      </c>
      <c r="DD12" s="1">
        <v>30</v>
      </c>
      <c r="DE12" s="1">
        <v>15</v>
      </c>
      <c r="DF12" s="1" t="s">
        <v>435</v>
      </c>
      <c r="DG12" s="1" t="s">
        <v>436</v>
      </c>
      <c r="DH12" s="1" t="s">
        <v>320</v>
      </c>
      <c r="DI12" s="1" t="s">
        <v>437</v>
      </c>
      <c r="DJ12" s="1" t="s">
        <v>438</v>
      </c>
      <c r="DK12" s="1" t="s">
        <v>180</v>
      </c>
      <c r="DL12">
        <v>113</v>
      </c>
      <c r="DM12">
        <v>108</v>
      </c>
      <c r="DN12">
        <v>5</v>
      </c>
      <c r="DO12" s="1">
        <v>2</v>
      </c>
      <c r="DP12" s="1">
        <v>1701</v>
      </c>
    </row>
    <row r="13" spans="1:133" x14ac:dyDescent="0.3">
      <c r="A13" s="57" t="s">
        <v>100</v>
      </c>
      <c r="B13" s="57" t="s">
        <v>101</v>
      </c>
      <c r="C13" s="57" t="s">
        <v>102</v>
      </c>
      <c r="D13" s="57" t="s">
        <v>103</v>
      </c>
      <c r="E13" s="57" t="s">
        <v>71</v>
      </c>
      <c r="F13" s="57" t="s">
        <v>100</v>
      </c>
      <c r="G13">
        <v>76990</v>
      </c>
      <c r="H13">
        <v>300</v>
      </c>
      <c r="I13">
        <v>26</v>
      </c>
      <c r="J13">
        <v>73</v>
      </c>
      <c r="K13">
        <v>90</v>
      </c>
      <c r="L13">
        <v>10</v>
      </c>
      <c r="O13">
        <v>5930</v>
      </c>
      <c r="P13">
        <v>3760</v>
      </c>
      <c r="Q13">
        <v>2380</v>
      </c>
      <c r="R13" s="8">
        <f t="shared" si="0"/>
        <v>3.0913105598129631</v>
      </c>
      <c r="S13">
        <v>2850</v>
      </c>
      <c r="T13">
        <v>3160</v>
      </c>
      <c r="U13">
        <v>19770</v>
      </c>
      <c r="V13">
        <v>20840</v>
      </c>
      <c r="W13">
        <v>22060</v>
      </c>
      <c r="X13">
        <v>60900</v>
      </c>
      <c r="Y13" t="s">
        <v>591</v>
      </c>
      <c r="Z13" t="s">
        <v>597</v>
      </c>
      <c r="AA13">
        <v>10</v>
      </c>
      <c r="AB13">
        <v>20</v>
      </c>
      <c r="AC13">
        <v>10</v>
      </c>
      <c r="AD13">
        <v>60</v>
      </c>
      <c r="AE13">
        <v>6.1</v>
      </c>
      <c r="AF13">
        <v>12150</v>
      </c>
      <c r="AG13">
        <v>515</v>
      </c>
      <c r="AH13" s="8">
        <f t="shared" si="1"/>
        <v>23.592233009708739</v>
      </c>
      <c r="AI13" t="e">
        <f>VLOOKUP(F13,#REF!, 2, FALSE)</f>
        <v>#REF!</v>
      </c>
      <c r="AJ13" t="e">
        <f>VLOOKUP(F13,#REF!, 3, FALSE)</f>
        <v>#REF!</v>
      </c>
      <c r="AK13" s="17"/>
      <c r="AL13" s="15">
        <v>31.546194351364289</v>
      </c>
      <c r="AM13" s="15">
        <v>33.253550343066856</v>
      </c>
      <c r="AN13" s="15">
        <v>35.200255305568852</v>
      </c>
      <c r="AO13" s="20">
        <v>25.4</v>
      </c>
      <c r="AP13" s="20">
        <v>63859000</v>
      </c>
      <c r="AQ13" s="20">
        <v>5620000</v>
      </c>
      <c r="AR13" s="20">
        <v>229</v>
      </c>
      <c r="AS13" s="20">
        <v>15.881983678593848</v>
      </c>
      <c r="AT13" s="7">
        <v>4.0201393310166198</v>
      </c>
      <c r="AU13" s="7">
        <v>-8.2125520127064103E-2</v>
      </c>
      <c r="AV13" s="7">
        <v>-3.0860555684606699E-2</v>
      </c>
      <c r="AW13" s="7">
        <v>-0.20357681180742401</v>
      </c>
      <c r="AX13" s="7">
        <v>-0.108610927866521</v>
      </c>
      <c r="AY13" s="7">
        <v>0.27210453562850101</v>
      </c>
      <c r="AZ13" s="7">
        <v>-1.1181760397013E-2</v>
      </c>
      <c r="BA13" s="4">
        <v>18</v>
      </c>
      <c r="BB13" s="4">
        <v>30</v>
      </c>
      <c r="BC13" s="4">
        <v>2</v>
      </c>
      <c r="BD13" s="4">
        <v>2</v>
      </c>
      <c r="BE13" s="2">
        <v>974</v>
      </c>
      <c r="BF13" s="3">
        <f t="shared" si="2"/>
        <v>12.608414239482201</v>
      </c>
      <c r="BG13" s="9">
        <v>77250</v>
      </c>
      <c r="BH13">
        <v>39060</v>
      </c>
      <c r="BI13">
        <v>38185</v>
      </c>
      <c r="BJ13">
        <v>11070</v>
      </c>
      <c r="BK13">
        <v>12130</v>
      </c>
      <c r="BL13">
        <v>27425</v>
      </c>
      <c r="BM13">
        <v>18090</v>
      </c>
      <c r="BN13">
        <v>8530</v>
      </c>
      <c r="BO13">
        <v>50570</v>
      </c>
      <c r="BP13">
        <v>17865</v>
      </c>
      <c r="BQ13">
        <v>7025</v>
      </c>
      <c r="BR13">
        <v>1785</v>
      </c>
      <c r="BS13">
        <v>22835</v>
      </c>
      <c r="BT13">
        <v>10970</v>
      </c>
      <c r="BU13">
        <v>43445</v>
      </c>
      <c r="BV13">
        <v>22840</v>
      </c>
      <c r="BW13">
        <v>2540</v>
      </c>
      <c r="BX13">
        <v>18800</v>
      </c>
      <c r="BY13">
        <v>8425</v>
      </c>
      <c r="BZ13">
        <v>24645</v>
      </c>
      <c r="CA13" s="1">
        <v>40395</v>
      </c>
      <c r="CB13" s="1">
        <v>21330</v>
      </c>
      <c r="CC13" s="1">
        <v>8110</v>
      </c>
      <c r="CD13" s="1">
        <v>10955</v>
      </c>
      <c r="CE13" s="1">
        <v>1.9</v>
      </c>
      <c r="CF13" s="1" t="s">
        <v>104</v>
      </c>
      <c r="CG13" s="1" t="s">
        <v>105</v>
      </c>
      <c r="CH13" s="1" t="s">
        <v>106</v>
      </c>
      <c r="CI13" s="1" t="s">
        <v>107</v>
      </c>
      <c r="CJ13" s="1" t="s">
        <v>74</v>
      </c>
      <c r="CK13" s="1" t="s">
        <v>108</v>
      </c>
      <c r="CL13" s="1" t="s">
        <v>76</v>
      </c>
      <c r="CM13" s="1" t="s">
        <v>76</v>
      </c>
      <c r="CN13" s="1" t="s">
        <v>76</v>
      </c>
      <c r="CO13" s="1" t="s">
        <v>109</v>
      </c>
      <c r="CP13" s="1" t="s">
        <v>88</v>
      </c>
      <c r="CQ13" s="1" t="s">
        <v>110</v>
      </c>
      <c r="CR13" s="1" t="s">
        <v>111</v>
      </c>
      <c r="CS13" s="1" t="s">
        <v>89</v>
      </c>
      <c r="CT13" s="1" t="s">
        <v>112</v>
      </c>
      <c r="CU13" s="1" t="s">
        <v>113</v>
      </c>
      <c r="CV13" s="1" t="s">
        <v>114</v>
      </c>
      <c r="CW13" s="1">
        <v>13355</v>
      </c>
      <c r="CX13" s="1">
        <v>65</v>
      </c>
      <c r="CY13" s="1">
        <v>1830</v>
      </c>
      <c r="CZ13" s="1">
        <v>1665</v>
      </c>
      <c r="DA13" s="1">
        <v>1200</v>
      </c>
      <c r="DB13" s="1">
        <v>235</v>
      </c>
      <c r="DC13" s="1">
        <v>3760</v>
      </c>
      <c r="DD13" s="1">
        <v>2470</v>
      </c>
      <c r="DE13" s="1">
        <v>2125</v>
      </c>
      <c r="DF13" s="1" t="s">
        <v>115</v>
      </c>
      <c r="DG13" s="1" t="s">
        <v>116</v>
      </c>
      <c r="DH13" s="1" t="s">
        <v>117</v>
      </c>
      <c r="DI13" s="1" t="s">
        <v>118</v>
      </c>
      <c r="DJ13" s="1" t="s">
        <v>119</v>
      </c>
      <c r="DK13" s="1" t="s">
        <v>120</v>
      </c>
      <c r="DL13">
        <v>596</v>
      </c>
      <c r="DM13">
        <v>515</v>
      </c>
      <c r="DN13">
        <v>81</v>
      </c>
      <c r="DO13" s="1">
        <v>1</v>
      </c>
      <c r="DP13" s="1">
        <v>5755</v>
      </c>
    </row>
    <row r="14" spans="1:133" x14ac:dyDescent="0.3">
      <c r="A14" s="57" t="s">
        <v>208</v>
      </c>
      <c r="B14" s="57" t="s">
        <v>209</v>
      </c>
      <c r="C14" s="57" t="s">
        <v>210</v>
      </c>
      <c r="D14" s="57" t="s">
        <v>103</v>
      </c>
      <c r="E14" s="57" t="s">
        <v>71</v>
      </c>
      <c r="F14" s="57" t="s">
        <v>208</v>
      </c>
      <c r="G14">
        <v>75</v>
      </c>
      <c r="H14">
        <v>408</v>
      </c>
      <c r="I14">
        <v>57</v>
      </c>
      <c r="J14">
        <v>43</v>
      </c>
      <c r="K14">
        <v>100</v>
      </c>
      <c r="L14">
        <v>0</v>
      </c>
      <c r="M14">
        <v>4320</v>
      </c>
      <c r="N14">
        <v>1370</v>
      </c>
      <c r="O14">
        <v>10</v>
      </c>
      <c r="P14">
        <v>0</v>
      </c>
      <c r="Q14">
        <v>0</v>
      </c>
      <c r="R14" s="8"/>
      <c r="S14">
        <v>0</v>
      </c>
      <c r="T14">
        <v>0</v>
      </c>
      <c r="X14">
        <v>100</v>
      </c>
      <c r="AA14">
        <v>0</v>
      </c>
      <c r="AB14">
        <v>0</v>
      </c>
      <c r="AC14">
        <v>0</v>
      </c>
      <c r="AD14">
        <v>20</v>
      </c>
      <c r="AF14">
        <v>1060</v>
      </c>
      <c r="AG14">
        <v>184</v>
      </c>
      <c r="AH14" s="8">
        <f t="shared" si="1"/>
        <v>5.7608695652173916</v>
      </c>
      <c r="AK14" s="17"/>
      <c r="AL14" s="15"/>
      <c r="AM14" s="15"/>
      <c r="AN14" s="15"/>
      <c r="AO14" s="20">
        <v>0</v>
      </c>
      <c r="AP14" s="20">
        <v>92965000</v>
      </c>
      <c r="AQ14" s="20">
        <v>5975000</v>
      </c>
      <c r="AR14" s="20">
        <v>398</v>
      </c>
      <c r="AS14" s="20"/>
      <c r="AT14" s="7">
        <v>4.2246508398879303</v>
      </c>
      <c r="AU14" s="7">
        <v>0.122385988744249</v>
      </c>
      <c r="AV14" s="7">
        <v>-0.16916025278459401</v>
      </c>
      <c r="AW14" s="7">
        <v>5.8015974338971203E-2</v>
      </c>
      <c r="AX14" s="7">
        <v>6.7938304403413405E-2</v>
      </c>
      <c r="AY14" s="7">
        <v>0.104525368362847</v>
      </c>
      <c r="AZ14" s="7">
        <v>6.1066594423611398E-2</v>
      </c>
      <c r="BE14" s="2">
        <v>4</v>
      </c>
      <c r="BF14" s="3">
        <f t="shared" si="2"/>
        <v>57.142857142857139</v>
      </c>
      <c r="BG14" s="9">
        <v>70</v>
      </c>
      <c r="BH14">
        <v>40</v>
      </c>
      <c r="BI14">
        <v>30</v>
      </c>
      <c r="BJ14">
        <v>10</v>
      </c>
      <c r="BK14">
        <v>5</v>
      </c>
      <c r="BL14">
        <v>15</v>
      </c>
      <c r="BM14">
        <v>20</v>
      </c>
      <c r="BN14">
        <v>15</v>
      </c>
      <c r="BO14">
        <v>30</v>
      </c>
      <c r="BP14">
        <v>25</v>
      </c>
      <c r="BQ14">
        <v>10</v>
      </c>
      <c r="BR14">
        <v>5</v>
      </c>
      <c r="BS14">
        <v>55</v>
      </c>
      <c r="BT14">
        <v>5</v>
      </c>
      <c r="BU14">
        <v>10</v>
      </c>
      <c r="BV14">
        <v>55</v>
      </c>
      <c r="BW14">
        <v>0</v>
      </c>
      <c r="BX14">
        <v>10</v>
      </c>
      <c r="BY14">
        <v>5</v>
      </c>
      <c r="BZ14">
        <v>5</v>
      </c>
      <c r="CA14" s="1">
        <v>35</v>
      </c>
      <c r="CB14" s="1">
        <v>10</v>
      </c>
      <c r="CC14" s="1">
        <v>10</v>
      </c>
      <c r="CD14" s="1">
        <v>5</v>
      </c>
      <c r="CE14" s="1">
        <v>2</v>
      </c>
      <c r="CF14" s="1" t="s">
        <v>211</v>
      </c>
      <c r="CG14" s="1" t="s">
        <v>185</v>
      </c>
      <c r="CH14" s="1" t="s">
        <v>212</v>
      </c>
      <c r="CI14" s="1" t="s">
        <v>213</v>
      </c>
      <c r="CJ14" s="1" t="s">
        <v>214</v>
      </c>
      <c r="CK14" s="1" t="s">
        <v>149</v>
      </c>
      <c r="CL14" s="1" t="s">
        <v>172</v>
      </c>
      <c r="CM14" s="1" t="s">
        <v>76</v>
      </c>
      <c r="CN14" s="1" t="s">
        <v>215</v>
      </c>
      <c r="CO14" s="1" t="s">
        <v>214</v>
      </c>
      <c r="CP14" s="1" t="s">
        <v>75</v>
      </c>
      <c r="CQ14" s="1" t="s">
        <v>214</v>
      </c>
      <c r="CR14" s="1" t="s">
        <v>214</v>
      </c>
      <c r="CS14" s="1" t="s">
        <v>76</v>
      </c>
      <c r="CT14" s="1" t="s">
        <v>214</v>
      </c>
      <c r="CU14" s="1" t="s">
        <v>167</v>
      </c>
      <c r="CV14" s="1" t="s">
        <v>76</v>
      </c>
      <c r="CW14" s="1">
        <v>1040</v>
      </c>
      <c r="CX14" s="1">
        <v>0</v>
      </c>
      <c r="CY14" s="1">
        <v>175</v>
      </c>
      <c r="CZ14" s="1">
        <v>385</v>
      </c>
      <c r="DA14" s="1">
        <v>120</v>
      </c>
      <c r="DB14" s="1">
        <v>50</v>
      </c>
      <c r="DC14" s="1">
        <v>220</v>
      </c>
      <c r="DD14" s="1">
        <v>35</v>
      </c>
      <c r="DE14" s="1">
        <v>55</v>
      </c>
      <c r="DF14" s="1" t="s">
        <v>164</v>
      </c>
      <c r="DG14" s="1" t="s">
        <v>216</v>
      </c>
      <c r="DH14" s="1" t="s">
        <v>217</v>
      </c>
      <c r="DI14" s="1" t="s">
        <v>72</v>
      </c>
      <c r="DJ14" s="1" t="s">
        <v>72</v>
      </c>
      <c r="DK14" s="1" t="s">
        <v>185</v>
      </c>
      <c r="DL14">
        <v>204</v>
      </c>
      <c r="DM14">
        <v>184</v>
      </c>
      <c r="DN14">
        <v>20</v>
      </c>
      <c r="DO14" s="1">
        <v>2</v>
      </c>
      <c r="DP14" s="1">
        <v>1526</v>
      </c>
    </row>
    <row r="15" spans="1:133" x14ac:dyDescent="0.3">
      <c r="A15" s="57" t="s">
        <v>160</v>
      </c>
      <c r="B15" s="57" t="s">
        <v>161</v>
      </c>
      <c r="C15" s="57" t="s">
        <v>162</v>
      </c>
      <c r="D15" s="57" t="s">
        <v>103</v>
      </c>
      <c r="E15" s="57" t="s">
        <v>71</v>
      </c>
      <c r="F15" s="57" t="s">
        <v>160</v>
      </c>
      <c r="G15">
        <v>1240</v>
      </c>
      <c r="H15">
        <v>220</v>
      </c>
      <c r="I15">
        <v>0</v>
      </c>
      <c r="J15">
        <v>100</v>
      </c>
      <c r="K15">
        <v>100</v>
      </c>
      <c r="L15">
        <v>0</v>
      </c>
      <c r="O15">
        <v>100</v>
      </c>
      <c r="P15">
        <v>30</v>
      </c>
      <c r="Q15">
        <v>10</v>
      </c>
      <c r="R15" s="8">
        <f t="shared" si="0"/>
        <v>0.80645161290322576</v>
      </c>
      <c r="S15">
        <v>40</v>
      </c>
      <c r="T15">
        <v>50</v>
      </c>
      <c r="X15">
        <v>1100</v>
      </c>
      <c r="Y15" t="s">
        <v>598</v>
      </c>
      <c r="Z15" t="s">
        <v>596</v>
      </c>
      <c r="AA15">
        <v>0</v>
      </c>
      <c r="AB15">
        <v>0</v>
      </c>
      <c r="AC15">
        <v>0</v>
      </c>
      <c r="AD15">
        <v>20</v>
      </c>
      <c r="AF15">
        <v>595</v>
      </c>
      <c r="AG15">
        <v>123</v>
      </c>
      <c r="AH15" s="8">
        <f t="shared" si="1"/>
        <v>4.8373983739837394</v>
      </c>
      <c r="AI15" t="e">
        <f>VLOOKUP(F15,#REF!, 2, FALSE)</f>
        <v>#REF!</v>
      </c>
      <c r="AJ15" t="e">
        <f>VLOOKUP(F15,#REF!, 3, FALSE)</f>
        <v>#REF!</v>
      </c>
      <c r="AK15" s="17"/>
      <c r="AL15" s="15"/>
      <c r="AM15" s="15"/>
      <c r="AN15" s="15"/>
      <c r="AO15" s="20">
        <v>0</v>
      </c>
      <c r="AP15" s="20">
        <v>62936000</v>
      </c>
      <c r="AQ15" s="20">
        <v>5237000</v>
      </c>
      <c r="AR15" s="20">
        <v>58</v>
      </c>
      <c r="AS15" s="20">
        <v>0.56818181818181823</v>
      </c>
      <c r="AT15" s="7">
        <v>3.7917901769376798</v>
      </c>
      <c r="AU15" s="7">
        <v>-0.310474674205996</v>
      </c>
      <c r="AV15" s="7">
        <v>-4.91569539188998E-2</v>
      </c>
      <c r="AW15" s="7">
        <v>-0.109396696343098</v>
      </c>
      <c r="AX15" s="7">
        <v>-0.155856530023048</v>
      </c>
      <c r="AY15" s="7">
        <v>0.119130878670654</v>
      </c>
      <c r="AZ15" s="7">
        <v>-0.11519537259160401</v>
      </c>
      <c r="BE15" s="2">
        <v>11</v>
      </c>
      <c r="BF15" s="3">
        <f t="shared" si="2"/>
        <v>4.5643153526970961</v>
      </c>
      <c r="BG15" s="9">
        <v>2410</v>
      </c>
      <c r="BH15">
        <v>1560</v>
      </c>
      <c r="BI15">
        <v>850</v>
      </c>
      <c r="BJ15">
        <v>265</v>
      </c>
      <c r="BK15">
        <v>360</v>
      </c>
      <c r="BL15">
        <v>1550</v>
      </c>
      <c r="BM15">
        <v>220</v>
      </c>
      <c r="BN15">
        <v>10</v>
      </c>
      <c r="BO15">
        <v>1480</v>
      </c>
      <c r="BP15">
        <v>890</v>
      </c>
      <c r="BQ15">
        <v>30</v>
      </c>
      <c r="BR15">
        <v>5</v>
      </c>
      <c r="BS15">
        <v>80</v>
      </c>
      <c r="BT15">
        <v>320</v>
      </c>
      <c r="BU15">
        <v>2015</v>
      </c>
      <c r="BV15">
        <v>80</v>
      </c>
      <c r="BW15">
        <v>10</v>
      </c>
      <c r="BX15">
        <v>110</v>
      </c>
      <c r="BY15">
        <v>310</v>
      </c>
      <c r="BZ15">
        <v>1900</v>
      </c>
      <c r="CA15" s="1">
        <v>870</v>
      </c>
      <c r="CB15" s="1">
        <v>510</v>
      </c>
      <c r="CC15" s="1">
        <v>315</v>
      </c>
      <c r="CD15" s="1">
        <v>45</v>
      </c>
      <c r="CE15" s="1">
        <v>1.5</v>
      </c>
      <c r="CF15" s="1" t="s">
        <v>163</v>
      </c>
      <c r="CG15" s="1" t="s">
        <v>164</v>
      </c>
      <c r="CH15" s="1" t="s">
        <v>165</v>
      </c>
      <c r="CI15" s="1" t="s">
        <v>166</v>
      </c>
      <c r="CJ15" s="1" t="s">
        <v>76</v>
      </c>
      <c r="CK15" s="1" t="s">
        <v>76</v>
      </c>
      <c r="CL15" s="1" t="s">
        <v>76</v>
      </c>
      <c r="CM15" s="1" t="s">
        <v>76</v>
      </c>
      <c r="CN15" s="1" t="s">
        <v>76</v>
      </c>
      <c r="CO15" s="1" t="s">
        <v>167</v>
      </c>
      <c r="CP15" s="1" t="s">
        <v>149</v>
      </c>
      <c r="CQ15" s="1" t="s">
        <v>76</v>
      </c>
      <c r="CR15" s="1" t="s">
        <v>167</v>
      </c>
      <c r="CS15" s="1" t="s">
        <v>76</v>
      </c>
      <c r="CT15" s="1" t="s">
        <v>167</v>
      </c>
      <c r="CU15" s="1" t="s">
        <v>167</v>
      </c>
      <c r="CV15" s="1" t="s">
        <v>76</v>
      </c>
      <c r="CW15" s="1">
        <v>600</v>
      </c>
      <c r="CX15" s="1">
        <v>5</v>
      </c>
      <c r="CY15" s="1">
        <v>55</v>
      </c>
      <c r="CZ15" s="1">
        <v>120</v>
      </c>
      <c r="DA15" s="1">
        <v>75</v>
      </c>
      <c r="DB15" s="1">
        <v>15</v>
      </c>
      <c r="DC15" s="1">
        <v>205</v>
      </c>
      <c r="DD15" s="1">
        <v>45</v>
      </c>
      <c r="DE15" s="1">
        <v>80</v>
      </c>
      <c r="DF15" s="1" t="s">
        <v>168</v>
      </c>
      <c r="DG15" s="1" t="s">
        <v>169</v>
      </c>
      <c r="DH15" s="1" t="s">
        <v>170</v>
      </c>
      <c r="DI15" s="1" t="s">
        <v>171</v>
      </c>
      <c r="DJ15" s="1" t="s">
        <v>144</v>
      </c>
      <c r="DK15" s="1" t="s">
        <v>172</v>
      </c>
      <c r="DL15">
        <v>207</v>
      </c>
      <c r="DM15">
        <v>123</v>
      </c>
      <c r="DN15">
        <v>84</v>
      </c>
      <c r="DO15" s="1">
        <v>1</v>
      </c>
      <c r="DP15" s="1">
        <v>3590</v>
      </c>
    </row>
    <row r="16" spans="1:133" x14ac:dyDescent="0.3">
      <c r="A16" s="57" t="s">
        <v>262</v>
      </c>
      <c r="B16" s="57" t="s">
        <v>263</v>
      </c>
      <c r="C16" s="57" t="s">
        <v>79</v>
      </c>
      <c r="D16" s="57" t="s">
        <v>264</v>
      </c>
      <c r="E16" s="57" t="s">
        <v>71</v>
      </c>
      <c r="F16" s="57" t="s">
        <v>262</v>
      </c>
      <c r="G16">
        <v>5120</v>
      </c>
      <c r="H16">
        <v>315</v>
      </c>
      <c r="I16">
        <v>52</v>
      </c>
      <c r="J16">
        <v>48</v>
      </c>
      <c r="K16">
        <v>86</v>
      </c>
      <c r="L16">
        <v>14</v>
      </c>
      <c r="M16">
        <v>4010</v>
      </c>
      <c r="N16">
        <v>1270</v>
      </c>
      <c r="O16">
        <v>300</v>
      </c>
      <c r="P16">
        <v>170</v>
      </c>
      <c r="Q16">
        <v>100</v>
      </c>
      <c r="R16" s="8">
        <f t="shared" si="0"/>
        <v>1.953125</v>
      </c>
      <c r="S16">
        <v>120</v>
      </c>
      <c r="T16">
        <v>60</v>
      </c>
      <c r="U16">
        <v>1220</v>
      </c>
      <c r="V16">
        <v>1580</v>
      </c>
      <c r="W16">
        <v>1650</v>
      </c>
      <c r="X16">
        <v>4300</v>
      </c>
      <c r="Y16" t="s">
        <v>599</v>
      </c>
      <c r="Z16" t="s">
        <v>600</v>
      </c>
      <c r="AA16">
        <v>2350</v>
      </c>
      <c r="AB16">
        <v>3040</v>
      </c>
      <c r="AC16">
        <v>890</v>
      </c>
      <c r="AD16">
        <v>12630</v>
      </c>
      <c r="AE16">
        <v>3.9</v>
      </c>
      <c r="AF16">
        <v>1255</v>
      </c>
      <c r="AG16">
        <v>53</v>
      </c>
      <c r="AH16" s="8">
        <f t="shared" si="1"/>
        <v>23.679245283018869</v>
      </c>
      <c r="AI16" t="e">
        <f>VLOOKUP(F16,#REF!, 2, FALSE)</f>
        <v>#REF!</v>
      </c>
      <c r="AJ16" t="e">
        <f>VLOOKUP(F16,#REF!, 3, FALSE)</f>
        <v>#REF!</v>
      </c>
      <c r="AK16" s="17">
        <v>8.4</v>
      </c>
      <c r="AL16" s="15">
        <v>27.415730337078653</v>
      </c>
      <c r="AM16" s="15">
        <v>35.50561797752809</v>
      </c>
      <c r="AN16" s="15">
        <v>37.078651685393261</v>
      </c>
      <c r="AO16" s="20">
        <v>2.4</v>
      </c>
      <c r="AP16" s="20">
        <v>10086000</v>
      </c>
      <c r="AQ16" s="20">
        <v>1234000</v>
      </c>
      <c r="AR16" s="20">
        <v>265</v>
      </c>
      <c r="AS16" s="20">
        <v>21.856287425149702</v>
      </c>
      <c r="AT16" s="7">
        <v>3.9659789127473202</v>
      </c>
      <c r="AU16" s="7">
        <v>-0.13628593839636199</v>
      </c>
      <c r="AV16" s="7">
        <v>-5.1819565611803398E-3</v>
      </c>
      <c r="AW16" s="7">
        <v>-0.26206278870147298</v>
      </c>
      <c r="AX16" s="7">
        <v>-7.2720003055632698E-2</v>
      </c>
      <c r="AY16" s="7">
        <v>0.20308132485477901</v>
      </c>
      <c r="AZ16" s="7">
        <v>5.9748506714545405E-4</v>
      </c>
      <c r="BA16" s="4">
        <v>9</v>
      </c>
      <c r="BB16" s="4">
        <v>33</v>
      </c>
      <c r="BE16" s="2">
        <v>373</v>
      </c>
      <c r="BF16" s="3">
        <f t="shared" si="2"/>
        <v>70.377358490566039</v>
      </c>
      <c r="BG16" s="9">
        <v>5300</v>
      </c>
      <c r="BH16">
        <v>2815</v>
      </c>
      <c r="BI16">
        <v>2485</v>
      </c>
      <c r="BJ16">
        <v>590</v>
      </c>
      <c r="BK16">
        <v>530</v>
      </c>
      <c r="BL16">
        <v>1880</v>
      </c>
      <c r="BM16">
        <v>1560</v>
      </c>
      <c r="BN16">
        <v>750</v>
      </c>
      <c r="BO16">
        <v>3135</v>
      </c>
      <c r="BP16">
        <v>1535</v>
      </c>
      <c r="BQ16">
        <v>510</v>
      </c>
      <c r="BR16">
        <v>120</v>
      </c>
      <c r="BS16">
        <v>2915</v>
      </c>
      <c r="BT16">
        <v>905</v>
      </c>
      <c r="BU16">
        <v>1485</v>
      </c>
      <c r="BV16">
        <v>2915</v>
      </c>
      <c r="BW16">
        <v>235</v>
      </c>
      <c r="BX16">
        <v>655</v>
      </c>
      <c r="BY16">
        <v>670</v>
      </c>
      <c r="BZ16">
        <v>830</v>
      </c>
      <c r="CA16" s="1">
        <v>2970</v>
      </c>
      <c r="CB16" s="1">
        <v>1520</v>
      </c>
      <c r="CC16" s="1">
        <v>810</v>
      </c>
      <c r="CD16" s="1">
        <v>640</v>
      </c>
      <c r="CE16" s="1">
        <v>1.8</v>
      </c>
      <c r="CF16" s="1" t="s">
        <v>265</v>
      </c>
      <c r="CG16" s="1" t="s">
        <v>266</v>
      </c>
      <c r="CH16" s="1" t="s">
        <v>267</v>
      </c>
      <c r="CI16" s="1" t="s">
        <v>268</v>
      </c>
      <c r="CJ16" s="1" t="s">
        <v>269</v>
      </c>
      <c r="CK16" s="1" t="s">
        <v>253</v>
      </c>
      <c r="CL16" s="1" t="s">
        <v>73</v>
      </c>
      <c r="CM16" s="1" t="s">
        <v>114</v>
      </c>
      <c r="CN16" s="1" t="s">
        <v>76</v>
      </c>
      <c r="CO16" s="1" t="s">
        <v>270</v>
      </c>
      <c r="CP16" s="1" t="s">
        <v>147</v>
      </c>
      <c r="CQ16" s="1" t="s">
        <v>130</v>
      </c>
      <c r="CR16" s="1" t="s">
        <v>89</v>
      </c>
      <c r="CS16" s="1" t="s">
        <v>271</v>
      </c>
      <c r="CT16" s="1" t="s">
        <v>185</v>
      </c>
      <c r="CU16" s="1" t="s">
        <v>93</v>
      </c>
      <c r="CV16" s="1" t="s">
        <v>73</v>
      </c>
      <c r="CW16" s="1">
        <v>1340</v>
      </c>
      <c r="CX16" s="1">
        <v>5</v>
      </c>
      <c r="CY16" s="1">
        <v>210</v>
      </c>
      <c r="CZ16" s="1">
        <v>300</v>
      </c>
      <c r="DA16" s="1">
        <v>90</v>
      </c>
      <c r="DB16" s="1">
        <v>50</v>
      </c>
      <c r="DC16" s="1">
        <v>330</v>
      </c>
      <c r="DD16" s="1">
        <v>160</v>
      </c>
      <c r="DE16" s="1">
        <v>195</v>
      </c>
      <c r="DF16" s="1" t="s">
        <v>272</v>
      </c>
      <c r="DG16" s="1" t="s">
        <v>273</v>
      </c>
      <c r="DH16" s="1" t="s">
        <v>274</v>
      </c>
      <c r="DI16" s="1" t="s">
        <v>275</v>
      </c>
      <c r="DJ16" s="1" t="s">
        <v>276</v>
      </c>
      <c r="DK16" s="1" t="s">
        <v>277</v>
      </c>
      <c r="DL16">
        <v>59</v>
      </c>
      <c r="DM16">
        <v>53</v>
      </c>
      <c r="DN16">
        <v>7</v>
      </c>
      <c r="DO16" s="1">
        <v>1</v>
      </c>
      <c r="DP16" s="1">
        <v>5175</v>
      </c>
    </row>
    <row r="17" spans="1:120" x14ac:dyDescent="0.3">
      <c r="A17" s="57" t="s">
        <v>278</v>
      </c>
      <c r="B17" s="57" t="s">
        <v>279</v>
      </c>
      <c r="C17" s="57" t="s">
        <v>466</v>
      </c>
      <c r="D17" s="57" t="s">
        <v>264</v>
      </c>
      <c r="E17" s="57" t="s">
        <v>71</v>
      </c>
      <c r="F17" s="57" t="s">
        <v>278</v>
      </c>
      <c r="G17">
        <v>11370</v>
      </c>
      <c r="H17">
        <v>240</v>
      </c>
      <c r="I17">
        <v>43</v>
      </c>
      <c r="J17">
        <v>57</v>
      </c>
      <c r="K17">
        <v>92</v>
      </c>
      <c r="L17">
        <v>8</v>
      </c>
      <c r="M17">
        <v>2060</v>
      </c>
      <c r="N17">
        <v>1520</v>
      </c>
      <c r="O17">
        <v>910</v>
      </c>
      <c r="P17">
        <v>470</v>
      </c>
      <c r="Q17">
        <v>320</v>
      </c>
      <c r="R17" s="8">
        <f t="shared" si="0"/>
        <v>2.8144239226033423</v>
      </c>
      <c r="S17">
        <v>290</v>
      </c>
      <c r="T17">
        <v>130</v>
      </c>
      <c r="U17">
        <v>2970</v>
      </c>
      <c r="V17">
        <v>3920</v>
      </c>
      <c r="W17">
        <v>2370</v>
      </c>
      <c r="X17">
        <v>8900</v>
      </c>
      <c r="Y17">
        <v>6.4</v>
      </c>
      <c r="Z17">
        <v>9.4</v>
      </c>
      <c r="AA17">
        <v>0</v>
      </c>
      <c r="AB17">
        <v>20</v>
      </c>
      <c r="AC17">
        <v>20</v>
      </c>
      <c r="AD17">
        <v>140</v>
      </c>
      <c r="AE17">
        <v>4.4000000000000004</v>
      </c>
      <c r="AF17">
        <v>1705</v>
      </c>
      <c r="AG17">
        <v>114</v>
      </c>
      <c r="AH17" s="8">
        <f t="shared" si="1"/>
        <v>14.956140350877194</v>
      </c>
      <c r="AI17" t="e">
        <f>VLOOKUP(F17,#REF!, 2, FALSE)</f>
        <v>#REF!</v>
      </c>
      <c r="AJ17" t="e">
        <f>VLOOKUP(F17,#REF!, 3, FALSE)</f>
        <v>#REF!</v>
      </c>
      <c r="AK17" s="17">
        <v>9.1999999999999993</v>
      </c>
      <c r="AL17" s="15">
        <v>32.073434125269976</v>
      </c>
      <c r="AM17" s="15">
        <v>42.332613390928728</v>
      </c>
      <c r="AN17" s="15">
        <v>25.593952483801296</v>
      </c>
      <c r="AO17" s="20">
        <v>4.4000000000000004</v>
      </c>
      <c r="AP17" s="20">
        <v>13008000</v>
      </c>
      <c r="AQ17" s="20">
        <v>1068000</v>
      </c>
      <c r="AR17" s="20">
        <v>251</v>
      </c>
      <c r="AS17" s="20">
        <v>28.885832187070154</v>
      </c>
      <c r="AT17" s="7">
        <v>3.9296261284670999</v>
      </c>
      <c r="AU17" s="7">
        <v>-0.17263872267658201</v>
      </c>
      <c r="AV17" s="7">
        <v>-3.1946709418859097E-2</v>
      </c>
      <c r="AW17" s="7">
        <v>-0.18057734402872799</v>
      </c>
      <c r="AX17" s="7">
        <v>-8.7897190690619603E-2</v>
      </c>
      <c r="AY17" s="7">
        <v>0.18331086865971599</v>
      </c>
      <c r="AZ17" s="7">
        <v>-5.5528347198092499E-2</v>
      </c>
      <c r="BA17" s="4">
        <v>6</v>
      </c>
      <c r="BB17" s="4">
        <v>26</v>
      </c>
      <c r="BC17" s="4">
        <v>2</v>
      </c>
      <c r="BD17" s="4">
        <v>1</v>
      </c>
      <c r="BE17" s="2">
        <v>444</v>
      </c>
      <c r="BF17" s="3">
        <f t="shared" si="2"/>
        <v>38.642297650130544</v>
      </c>
      <c r="BG17" s="9">
        <v>11490</v>
      </c>
      <c r="BH17">
        <v>6045</v>
      </c>
      <c r="BI17">
        <v>5445</v>
      </c>
      <c r="BJ17">
        <v>1745</v>
      </c>
      <c r="BK17">
        <v>1420</v>
      </c>
      <c r="BL17">
        <v>4310</v>
      </c>
      <c r="BM17">
        <v>2800</v>
      </c>
      <c r="BN17">
        <v>1215</v>
      </c>
      <c r="BO17">
        <v>7400</v>
      </c>
      <c r="BP17">
        <v>2885</v>
      </c>
      <c r="BQ17">
        <v>905</v>
      </c>
      <c r="BR17">
        <v>305</v>
      </c>
      <c r="BS17">
        <v>3695</v>
      </c>
      <c r="BT17">
        <v>3225</v>
      </c>
      <c r="BU17">
        <v>4565</v>
      </c>
      <c r="BV17">
        <v>3695</v>
      </c>
      <c r="BW17">
        <v>610</v>
      </c>
      <c r="BX17">
        <v>2005</v>
      </c>
      <c r="BY17">
        <v>2610</v>
      </c>
      <c r="BZ17">
        <v>2565</v>
      </c>
      <c r="CA17" s="1">
        <v>5945</v>
      </c>
      <c r="CB17" s="1">
        <v>2940</v>
      </c>
      <c r="CC17" s="1">
        <v>1300</v>
      </c>
      <c r="CD17" s="1">
        <v>1705</v>
      </c>
      <c r="CE17" s="1">
        <v>1.9</v>
      </c>
      <c r="CF17" s="1" t="s">
        <v>280</v>
      </c>
      <c r="CG17" s="1" t="s">
        <v>281</v>
      </c>
      <c r="CH17" s="1" t="s">
        <v>282</v>
      </c>
      <c r="CI17" s="1" t="s">
        <v>283</v>
      </c>
      <c r="CJ17" s="1" t="s">
        <v>253</v>
      </c>
      <c r="CK17" s="1" t="s">
        <v>284</v>
      </c>
      <c r="CL17" s="1" t="s">
        <v>86</v>
      </c>
      <c r="CM17" s="1" t="s">
        <v>114</v>
      </c>
      <c r="CN17" s="1" t="s">
        <v>76</v>
      </c>
      <c r="CO17" s="1" t="s">
        <v>285</v>
      </c>
      <c r="CP17" s="1" t="s">
        <v>74</v>
      </c>
      <c r="CQ17" s="1" t="s">
        <v>75</v>
      </c>
      <c r="CR17" s="1" t="s">
        <v>255</v>
      </c>
      <c r="CS17" s="1" t="s">
        <v>269</v>
      </c>
      <c r="CT17" s="1" t="s">
        <v>241</v>
      </c>
      <c r="CU17" s="1" t="s">
        <v>93</v>
      </c>
      <c r="CV17" s="1" t="s">
        <v>73</v>
      </c>
      <c r="CW17" s="1">
        <v>1930</v>
      </c>
      <c r="CX17" s="1">
        <v>40</v>
      </c>
      <c r="CY17" s="1">
        <v>700</v>
      </c>
      <c r="CZ17" s="1">
        <v>190</v>
      </c>
      <c r="DA17" s="1">
        <v>140</v>
      </c>
      <c r="DB17" s="1">
        <v>25</v>
      </c>
      <c r="DC17" s="1">
        <v>360</v>
      </c>
      <c r="DD17" s="1">
        <v>265</v>
      </c>
      <c r="DE17" s="1">
        <v>210</v>
      </c>
      <c r="DF17" s="1" t="s">
        <v>177</v>
      </c>
      <c r="DG17" s="1" t="s">
        <v>286</v>
      </c>
      <c r="DH17" s="1" t="s">
        <v>287</v>
      </c>
      <c r="DI17" s="1" t="s">
        <v>288</v>
      </c>
      <c r="DJ17" s="1" t="s">
        <v>289</v>
      </c>
      <c r="DK17" s="1" t="s">
        <v>290</v>
      </c>
      <c r="DL17">
        <v>115</v>
      </c>
      <c r="DM17">
        <v>114</v>
      </c>
      <c r="DN17">
        <v>2</v>
      </c>
      <c r="DO17" s="1">
        <v>1</v>
      </c>
      <c r="DP17" s="1">
        <v>4497</v>
      </c>
    </row>
    <row r="18" spans="1:120" x14ac:dyDescent="0.3">
      <c r="A18" s="57" t="s">
        <v>315</v>
      </c>
      <c r="B18" s="57" t="s">
        <v>316</v>
      </c>
      <c r="C18" s="57" t="s">
        <v>469</v>
      </c>
      <c r="D18" s="57" t="s">
        <v>264</v>
      </c>
      <c r="E18" s="57" t="s">
        <v>71</v>
      </c>
      <c r="F18" s="57" t="s">
        <v>315</v>
      </c>
      <c r="G18">
        <v>95</v>
      </c>
      <c r="O18">
        <v>0</v>
      </c>
      <c r="P18">
        <v>0</v>
      </c>
      <c r="Q18">
        <v>0</v>
      </c>
      <c r="R18" s="8"/>
      <c r="S18">
        <v>0</v>
      </c>
      <c r="T18">
        <v>0</v>
      </c>
      <c r="X18">
        <v>100</v>
      </c>
      <c r="AF18">
        <v>330</v>
      </c>
      <c r="AG18">
        <v>170</v>
      </c>
      <c r="AH18" s="8">
        <f t="shared" si="1"/>
        <v>1.9411764705882353</v>
      </c>
      <c r="AK18" s="17"/>
      <c r="AL18" s="15"/>
      <c r="AM18" s="15"/>
      <c r="AN18" s="15"/>
      <c r="AO18" s="20">
        <v>0</v>
      </c>
      <c r="AP18" s="20">
        <v>44384000</v>
      </c>
      <c r="AQ18" s="20">
        <v>3214000</v>
      </c>
      <c r="AR18" s="20">
        <v>293</v>
      </c>
      <c r="AS18" s="20"/>
      <c r="AT18" s="7">
        <v>4.12945599691583</v>
      </c>
      <c r="AU18" s="7">
        <v>2.71911457721523E-2</v>
      </c>
      <c r="AV18" s="7">
        <v>-1.0026728669188901E-2</v>
      </c>
      <c r="AW18" s="7">
        <v>-0.145032372624504</v>
      </c>
      <c r="AX18" s="7">
        <v>-4.0425396823679002E-2</v>
      </c>
      <c r="AY18" s="7">
        <v>0.20543132594951499</v>
      </c>
      <c r="AZ18" s="7">
        <v>1.7244317940009302E-2</v>
      </c>
      <c r="BB18" s="4">
        <v>20</v>
      </c>
      <c r="BE18" s="2">
        <v>23</v>
      </c>
      <c r="BG18" s="9">
        <v>20</v>
      </c>
      <c r="BH18">
        <v>10</v>
      </c>
      <c r="BI18">
        <v>10</v>
      </c>
      <c r="BJ18">
        <v>0</v>
      </c>
      <c r="BK18">
        <v>5</v>
      </c>
      <c r="BL18">
        <v>5</v>
      </c>
      <c r="BM18">
        <v>10</v>
      </c>
      <c r="BN18">
        <v>0</v>
      </c>
      <c r="BO18">
        <v>15</v>
      </c>
      <c r="BP18">
        <v>5</v>
      </c>
      <c r="BQ18">
        <v>0</v>
      </c>
      <c r="BR18">
        <v>0</v>
      </c>
      <c r="BS18">
        <v>10</v>
      </c>
      <c r="BT18">
        <v>5</v>
      </c>
      <c r="BU18">
        <v>5</v>
      </c>
      <c r="BV18">
        <v>10</v>
      </c>
      <c r="BW18">
        <v>0</v>
      </c>
      <c r="BX18">
        <v>5</v>
      </c>
      <c r="BY18">
        <v>0</v>
      </c>
      <c r="BZ18">
        <v>0</v>
      </c>
      <c r="CA18" s="1">
        <v>10</v>
      </c>
      <c r="CB18" s="1">
        <v>5</v>
      </c>
      <c r="CC18" s="1">
        <v>0</v>
      </c>
      <c r="CD18" s="1">
        <v>5</v>
      </c>
      <c r="CE18" s="1">
        <v>1.9</v>
      </c>
      <c r="CF18" s="1" t="s">
        <v>152</v>
      </c>
      <c r="CG18" s="1" t="s">
        <v>317</v>
      </c>
      <c r="CH18" s="1" t="s">
        <v>318</v>
      </c>
      <c r="CI18" s="1" t="s">
        <v>72</v>
      </c>
      <c r="CJ18" s="1" t="s">
        <v>72</v>
      </c>
      <c r="CK18" s="1" t="s">
        <v>72</v>
      </c>
      <c r="CL18" s="1" t="s">
        <v>72</v>
      </c>
      <c r="CM18" s="1" t="s">
        <v>72</v>
      </c>
      <c r="CN18" s="1" t="s">
        <v>72</v>
      </c>
      <c r="CO18" s="1" t="s">
        <v>72</v>
      </c>
      <c r="CP18" s="1" t="s">
        <v>72</v>
      </c>
      <c r="CQ18" s="1" t="s">
        <v>72</v>
      </c>
      <c r="CR18" s="1" t="s">
        <v>72</v>
      </c>
      <c r="CS18" s="1" t="s">
        <v>72</v>
      </c>
      <c r="CT18" s="1" t="s">
        <v>72</v>
      </c>
      <c r="CU18" s="1" t="s">
        <v>72</v>
      </c>
      <c r="CV18" s="1" t="s">
        <v>72</v>
      </c>
      <c r="CW18" s="1">
        <v>345</v>
      </c>
      <c r="CX18" s="1">
        <v>5</v>
      </c>
      <c r="CY18" s="1">
        <v>85</v>
      </c>
      <c r="CZ18" s="1">
        <v>100</v>
      </c>
      <c r="DA18" s="1">
        <v>35</v>
      </c>
      <c r="DB18" s="1">
        <v>15</v>
      </c>
      <c r="DC18" s="1">
        <v>80</v>
      </c>
      <c r="DD18" s="1">
        <v>10</v>
      </c>
      <c r="DE18" s="1">
        <v>15</v>
      </c>
      <c r="DF18" s="1" t="s">
        <v>319</v>
      </c>
      <c r="DG18" s="1" t="s">
        <v>320</v>
      </c>
      <c r="DH18" s="1" t="s">
        <v>314</v>
      </c>
      <c r="DI18" s="1" t="s">
        <v>72</v>
      </c>
      <c r="DJ18" s="1" t="s">
        <v>72</v>
      </c>
      <c r="DK18" s="1" t="s">
        <v>74</v>
      </c>
      <c r="DL18">
        <v>294</v>
      </c>
      <c r="DM18">
        <v>170</v>
      </c>
      <c r="DN18">
        <v>124</v>
      </c>
      <c r="DO18" s="1">
        <v>3</v>
      </c>
      <c r="DP18" s="1">
        <v>1439</v>
      </c>
    </row>
    <row r="19" spans="1:120" x14ac:dyDescent="0.3">
      <c r="A19" s="57" t="s">
        <v>321</v>
      </c>
      <c r="B19" s="57" t="s">
        <v>322</v>
      </c>
      <c r="C19" s="57" t="s">
        <v>470</v>
      </c>
      <c r="D19" s="57" t="s">
        <v>264</v>
      </c>
      <c r="E19" s="57" t="s">
        <v>71</v>
      </c>
      <c r="F19" s="57" t="s">
        <v>321</v>
      </c>
      <c r="G19">
        <v>13015</v>
      </c>
      <c r="H19">
        <v>305</v>
      </c>
      <c r="I19">
        <v>54</v>
      </c>
      <c r="J19">
        <v>46</v>
      </c>
      <c r="K19">
        <v>91</v>
      </c>
      <c r="L19">
        <v>9</v>
      </c>
      <c r="M19">
        <v>4830</v>
      </c>
      <c r="N19">
        <v>1700</v>
      </c>
      <c r="O19">
        <v>1080</v>
      </c>
      <c r="P19">
        <v>600</v>
      </c>
      <c r="Q19">
        <v>270</v>
      </c>
      <c r="R19" s="8">
        <f t="shared" si="0"/>
        <v>2.0745293891663468</v>
      </c>
      <c r="S19">
        <v>280</v>
      </c>
      <c r="T19">
        <v>120</v>
      </c>
      <c r="U19">
        <v>2820</v>
      </c>
      <c r="V19">
        <v>3820</v>
      </c>
      <c r="W19">
        <v>3390</v>
      </c>
      <c r="X19">
        <v>9900</v>
      </c>
      <c r="Y19">
        <v>4.8</v>
      </c>
      <c r="Z19">
        <v>6.9</v>
      </c>
      <c r="AE19">
        <v>5.3</v>
      </c>
      <c r="AF19">
        <v>1785</v>
      </c>
      <c r="AG19">
        <v>179</v>
      </c>
      <c r="AH19" s="8">
        <f t="shared" si="1"/>
        <v>9.972067039106145</v>
      </c>
      <c r="AI19" t="e">
        <f>VLOOKUP(F19,#REF!, 2, FALSE)</f>
        <v>#REF!</v>
      </c>
      <c r="AJ19" t="e">
        <f>VLOOKUP(F19,#REF!, 3, FALSE)</f>
        <v>#REF!</v>
      </c>
      <c r="AK19" s="17">
        <v>4.3999999999999995</v>
      </c>
      <c r="AL19" s="15">
        <v>28.115653040877369</v>
      </c>
      <c r="AM19" s="15">
        <v>38.085742771684941</v>
      </c>
      <c r="AN19" s="15">
        <v>33.798604187437689</v>
      </c>
      <c r="AO19" s="20">
        <v>5.7</v>
      </c>
      <c r="AP19" s="20">
        <v>6752000</v>
      </c>
      <c r="AQ19" s="20">
        <v>1353000</v>
      </c>
      <c r="AR19" s="20">
        <v>285</v>
      </c>
      <c r="AS19" s="20">
        <v>37.845705967976713</v>
      </c>
      <c r="AT19" s="7">
        <v>4.1000545609112597</v>
      </c>
      <c r="AU19" s="7">
        <v>-2.2102902324167002E-3</v>
      </c>
      <c r="AV19" s="7">
        <v>-2.45897405722309E-2</v>
      </c>
      <c r="AW19" s="7">
        <v>-8.1954998775255E-2</v>
      </c>
      <c r="AX19" s="7">
        <v>-5.0994320537204998E-2</v>
      </c>
      <c r="AY19" s="7">
        <v>0.165820956094377</v>
      </c>
      <c r="AZ19" s="7">
        <v>-1.04921864421035E-2</v>
      </c>
      <c r="BA19" s="4">
        <v>3</v>
      </c>
      <c r="BB19" s="4">
        <v>19</v>
      </c>
      <c r="BD19" s="4">
        <v>1</v>
      </c>
      <c r="BE19" s="2">
        <v>311</v>
      </c>
      <c r="BF19" s="3">
        <f t="shared" si="2"/>
        <v>23.72234935163997</v>
      </c>
      <c r="BG19" s="9">
        <v>13110</v>
      </c>
      <c r="BH19">
        <v>6695</v>
      </c>
      <c r="BI19">
        <v>6420</v>
      </c>
      <c r="BJ19">
        <v>1995</v>
      </c>
      <c r="BK19">
        <v>1400</v>
      </c>
      <c r="BL19">
        <v>4150</v>
      </c>
      <c r="BM19">
        <v>3325</v>
      </c>
      <c r="BN19">
        <v>2245</v>
      </c>
      <c r="BO19">
        <v>7380</v>
      </c>
      <c r="BP19">
        <v>4100</v>
      </c>
      <c r="BQ19">
        <v>980</v>
      </c>
      <c r="BR19">
        <v>645</v>
      </c>
      <c r="BS19">
        <v>7155</v>
      </c>
      <c r="BT19">
        <v>2690</v>
      </c>
      <c r="BU19">
        <v>3270</v>
      </c>
      <c r="BV19">
        <v>7155</v>
      </c>
      <c r="BW19">
        <v>605</v>
      </c>
      <c r="BX19">
        <v>1615</v>
      </c>
      <c r="BY19">
        <v>2085</v>
      </c>
      <c r="BZ19">
        <v>1650</v>
      </c>
      <c r="CA19" s="1">
        <v>6185</v>
      </c>
      <c r="CB19" s="1">
        <v>2625</v>
      </c>
      <c r="CC19" s="1">
        <v>1660</v>
      </c>
      <c r="CD19" s="1">
        <v>1905</v>
      </c>
      <c r="CE19" s="1">
        <v>2</v>
      </c>
      <c r="CF19" s="1" t="s">
        <v>323</v>
      </c>
      <c r="CG19" s="1" t="s">
        <v>324</v>
      </c>
      <c r="CH19" s="1" t="s">
        <v>325</v>
      </c>
      <c r="CI19" s="1" t="s">
        <v>326</v>
      </c>
      <c r="CJ19" s="1" t="s">
        <v>199</v>
      </c>
      <c r="CK19" s="1" t="s">
        <v>269</v>
      </c>
      <c r="CL19" s="1" t="s">
        <v>88</v>
      </c>
      <c r="CM19" s="1" t="s">
        <v>86</v>
      </c>
      <c r="CN19" s="1" t="s">
        <v>114</v>
      </c>
      <c r="CO19" s="1" t="s">
        <v>327</v>
      </c>
      <c r="CP19" s="1" t="s">
        <v>200</v>
      </c>
      <c r="CQ19" s="1" t="s">
        <v>182</v>
      </c>
      <c r="CR19" s="1" t="s">
        <v>180</v>
      </c>
      <c r="CS19" s="1" t="s">
        <v>256</v>
      </c>
      <c r="CT19" s="1" t="s">
        <v>215</v>
      </c>
      <c r="CU19" s="1" t="s">
        <v>93</v>
      </c>
      <c r="CV19" s="1" t="s">
        <v>73</v>
      </c>
      <c r="CW19" s="1">
        <v>2020</v>
      </c>
      <c r="CX19" s="1">
        <v>40</v>
      </c>
      <c r="CY19" s="1">
        <v>635</v>
      </c>
      <c r="CZ19" s="1">
        <v>200</v>
      </c>
      <c r="DA19" s="1">
        <v>125</v>
      </c>
      <c r="DB19" s="1">
        <v>50</v>
      </c>
      <c r="DC19" s="1">
        <v>445</v>
      </c>
      <c r="DD19" s="1">
        <v>330</v>
      </c>
      <c r="DE19" s="1">
        <v>195</v>
      </c>
      <c r="DF19" s="1" t="s">
        <v>328</v>
      </c>
      <c r="DG19" s="1" t="s">
        <v>329</v>
      </c>
      <c r="DH19" s="1" t="s">
        <v>330</v>
      </c>
      <c r="DI19" s="1" t="s">
        <v>97</v>
      </c>
      <c r="DJ19" s="1" t="s">
        <v>331</v>
      </c>
      <c r="DK19" s="1" t="s">
        <v>332</v>
      </c>
      <c r="DL19">
        <v>188</v>
      </c>
      <c r="DM19">
        <v>179</v>
      </c>
      <c r="DN19">
        <v>8</v>
      </c>
      <c r="DO19" s="1">
        <v>1</v>
      </c>
      <c r="DP19" s="1">
        <v>3736</v>
      </c>
    </row>
    <row r="20" spans="1:120" x14ac:dyDescent="0.3">
      <c r="A20" s="57" t="s">
        <v>343</v>
      </c>
      <c r="B20" s="57" t="s">
        <v>344</v>
      </c>
      <c r="C20" s="57" t="s">
        <v>472</v>
      </c>
      <c r="D20" s="57" t="s">
        <v>264</v>
      </c>
      <c r="E20" s="57" t="s">
        <v>71</v>
      </c>
      <c r="F20" s="57" t="s">
        <v>343</v>
      </c>
      <c r="G20">
        <v>6250</v>
      </c>
      <c r="H20">
        <v>249</v>
      </c>
      <c r="I20">
        <v>47</v>
      </c>
      <c r="J20">
        <v>53</v>
      </c>
      <c r="K20">
        <v>95</v>
      </c>
      <c r="L20">
        <v>5</v>
      </c>
      <c r="O20">
        <v>500</v>
      </c>
      <c r="P20">
        <v>250</v>
      </c>
      <c r="Q20">
        <v>160</v>
      </c>
      <c r="R20" s="8">
        <f t="shared" si="0"/>
        <v>2.56</v>
      </c>
      <c r="S20">
        <v>90</v>
      </c>
      <c r="T20">
        <v>20</v>
      </c>
      <c r="U20">
        <v>1990</v>
      </c>
      <c r="V20">
        <v>1960</v>
      </c>
      <c r="W20">
        <v>910</v>
      </c>
      <c r="X20">
        <v>5100</v>
      </c>
      <c r="Y20">
        <v>4.5</v>
      </c>
      <c r="Z20">
        <v>8.6999999999999993</v>
      </c>
      <c r="AE20">
        <v>7.8</v>
      </c>
      <c r="AF20">
        <v>670</v>
      </c>
      <c r="AG20">
        <v>56</v>
      </c>
      <c r="AH20" s="8">
        <f t="shared" si="1"/>
        <v>11.964285714285714</v>
      </c>
      <c r="AI20" t="e">
        <f>VLOOKUP(F20,#REF!, 2, FALSE)</f>
        <v>#REF!</v>
      </c>
      <c r="AJ20" t="e">
        <f>VLOOKUP(F20,#REF!, 3, FALSE)</f>
        <v>#REF!</v>
      </c>
      <c r="AK20" s="17">
        <v>14.000000000000002</v>
      </c>
      <c r="AL20" s="15">
        <v>40.946502057613174</v>
      </c>
      <c r="AM20" s="15">
        <v>40.329218106995881</v>
      </c>
      <c r="AN20" s="15">
        <v>18.724279835390949</v>
      </c>
      <c r="AO20" s="20">
        <v>2.4</v>
      </c>
      <c r="AP20" s="20">
        <v>3593000</v>
      </c>
      <c r="AQ20" s="20">
        <v>394000</v>
      </c>
      <c r="AR20" s="20">
        <v>247</v>
      </c>
      <c r="AS20" s="20">
        <v>26.728110599078342</v>
      </c>
      <c r="AT20" s="7">
        <v>3.9977132678160499</v>
      </c>
      <c r="AU20" s="7">
        <v>-0.104551583327628</v>
      </c>
      <c r="AV20" s="7">
        <v>-1.34371609816321E-2</v>
      </c>
      <c r="AW20" s="7">
        <v>-0.12837333971162301</v>
      </c>
      <c r="AX20" s="7">
        <v>-6.1262564892340901E-2</v>
      </c>
      <c r="AY20" s="7">
        <v>9.4498484058929605E-2</v>
      </c>
      <c r="AZ20" s="7">
        <v>4.0229981990386699E-3</v>
      </c>
      <c r="BA20" s="4">
        <v>7</v>
      </c>
      <c r="BB20" s="4">
        <v>28</v>
      </c>
      <c r="BE20" s="2">
        <v>199</v>
      </c>
      <c r="BF20" s="3">
        <f t="shared" si="2"/>
        <v>31.462450592885375</v>
      </c>
      <c r="BG20" s="9">
        <v>6325</v>
      </c>
      <c r="BH20">
        <v>3215</v>
      </c>
      <c r="BI20">
        <v>3105</v>
      </c>
      <c r="BJ20">
        <v>935</v>
      </c>
      <c r="BK20">
        <v>605</v>
      </c>
      <c r="BL20">
        <v>1865</v>
      </c>
      <c r="BM20">
        <v>1715</v>
      </c>
      <c r="BN20">
        <v>1200</v>
      </c>
      <c r="BO20">
        <v>3385</v>
      </c>
      <c r="BP20">
        <v>2010</v>
      </c>
      <c r="BQ20">
        <v>625</v>
      </c>
      <c r="BR20">
        <v>300</v>
      </c>
      <c r="BS20">
        <v>3765</v>
      </c>
      <c r="BT20">
        <v>915</v>
      </c>
      <c r="BU20">
        <v>1640</v>
      </c>
      <c r="BV20">
        <v>3765</v>
      </c>
      <c r="BW20">
        <v>250</v>
      </c>
      <c r="BX20">
        <v>835</v>
      </c>
      <c r="BY20">
        <v>665</v>
      </c>
      <c r="BZ20">
        <v>810</v>
      </c>
      <c r="CA20" s="1">
        <v>3240</v>
      </c>
      <c r="CB20" s="1">
        <v>1450</v>
      </c>
      <c r="CC20" s="1">
        <v>805</v>
      </c>
      <c r="CD20" s="1">
        <v>985</v>
      </c>
      <c r="CE20" s="1">
        <v>2</v>
      </c>
      <c r="CF20" s="1" t="s">
        <v>345</v>
      </c>
      <c r="CG20" s="1" t="s">
        <v>346</v>
      </c>
      <c r="CH20" s="1" t="s">
        <v>347</v>
      </c>
      <c r="CI20" s="1" t="s">
        <v>348</v>
      </c>
      <c r="CJ20" s="1" t="s">
        <v>198</v>
      </c>
      <c r="CK20" s="1" t="s">
        <v>349</v>
      </c>
      <c r="CL20" s="1" t="s">
        <v>88</v>
      </c>
      <c r="CM20" s="1" t="s">
        <v>76</v>
      </c>
      <c r="CN20" s="1" t="s">
        <v>76</v>
      </c>
      <c r="CO20" s="1" t="s">
        <v>201</v>
      </c>
      <c r="CP20" s="1" t="s">
        <v>108</v>
      </c>
      <c r="CQ20" s="1" t="s">
        <v>350</v>
      </c>
      <c r="CR20" s="1" t="s">
        <v>351</v>
      </c>
      <c r="CS20" s="1" t="s">
        <v>349</v>
      </c>
      <c r="CT20" s="1" t="s">
        <v>92</v>
      </c>
      <c r="CU20" s="1" t="s">
        <v>352</v>
      </c>
      <c r="CV20" s="1" t="s">
        <v>86</v>
      </c>
      <c r="CW20" s="1">
        <v>755</v>
      </c>
      <c r="CX20" s="1">
        <v>10</v>
      </c>
      <c r="CY20" s="1">
        <v>275</v>
      </c>
      <c r="CZ20" s="1">
        <v>105</v>
      </c>
      <c r="DA20" s="1">
        <v>40</v>
      </c>
      <c r="DB20" s="1">
        <v>25</v>
      </c>
      <c r="DC20" s="1">
        <v>130</v>
      </c>
      <c r="DD20" s="1">
        <v>95</v>
      </c>
      <c r="DE20" s="1">
        <v>75</v>
      </c>
      <c r="DF20" s="1" t="s">
        <v>353</v>
      </c>
      <c r="DG20" s="1" t="s">
        <v>354</v>
      </c>
      <c r="DH20" s="1" t="s">
        <v>137</v>
      </c>
      <c r="DI20" s="1" t="s">
        <v>97</v>
      </c>
      <c r="DJ20" s="1" t="s">
        <v>355</v>
      </c>
      <c r="DK20" s="1" t="s">
        <v>224</v>
      </c>
      <c r="DL20">
        <v>64</v>
      </c>
      <c r="DM20">
        <v>56</v>
      </c>
      <c r="DN20">
        <v>8</v>
      </c>
      <c r="DO20" s="1">
        <v>2</v>
      </c>
      <c r="DP20" s="1">
        <v>2126</v>
      </c>
    </row>
    <row r="21" spans="1:120" x14ac:dyDescent="0.3">
      <c r="A21" s="57" t="s">
        <v>368</v>
      </c>
      <c r="B21" s="57" t="s">
        <v>369</v>
      </c>
      <c r="C21" s="57" t="s">
        <v>474</v>
      </c>
      <c r="D21" s="57" t="s">
        <v>264</v>
      </c>
      <c r="E21" s="57" t="s">
        <v>71</v>
      </c>
      <c r="F21" s="57" t="s">
        <v>368</v>
      </c>
      <c r="G21">
        <v>5355</v>
      </c>
      <c r="H21">
        <v>421</v>
      </c>
      <c r="I21">
        <v>73</v>
      </c>
      <c r="J21">
        <v>27</v>
      </c>
      <c r="K21">
        <v>69</v>
      </c>
      <c r="L21">
        <v>31</v>
      </c>
      <c r="M21">
        <v>4460</v>
      </c>
      <c r="N21">
        <v>1410</v>
      </c>
      <c r="O21">
        <v>600</v>
      </c>
      <c r="P21">
        <v>300</v>
      </c>
      <c r="Q21">
        <v>140</v>
      </c>
      <c r="R21" s="8">
        <f t="shared" si="0"/>
        <v>2.6143790849673203</v>
      </c>
      <c r="S21">
        <v>130</v>
      </c>
      <c r="T21">
        <v>50</v>
      </c>
      <c r="U21">
        <v>800</v>
      </c>
      <c r="V21">
        <v>1790</v>
      </c>
      <c r="W21">
        <v>1300</v>
      </c>
      <c r="X21">
        <v>4100</v>
      </c>
      <c r="Y21">
        <v>1.7</v>
      </c>
      <c r="Z21">
        <v>3.3</v>
      </c>
      <c r="AA21">
        <v>10</v>
      </c>
      <c r="AB21">
        <v>20</v>
      </c>
      <c r="AC21">
        <v>10</v>
      </c>
      <c r="AD21">
        <v>320</v>
      </c>
      <c r="AE21">
        <v>4.5999999999999996</v>
      </c>
      <c r="AF21">
        <v>690</v>
      </c>
      <c r="AG21">
        <v>290</v>
      </c>
      <c r="AH21" s="8">
        <f t="shared" si="1"/>
        <v>2.3793103448275863</v>
      </c>
      <c r="AK21" s="17">
        <v>2.4</v>
      </c>
      <c r="AL21" s="15">
        <v>20.565552699228792</v>
      </c>
      <c r="AM21" s="15">
        <v>46.015424164524418</v>
      </c>
      <c r="AN21" s="15">
        <v>33.419023136246793</v>
      </c>
      <c r="AO21" s="20">
        <v>1.5</v>
      </c>
      <c r="AP21" s="20">
        <v>21439000</v>
      </c>
      <c r="AQ21" s="20">
        <v>2196000</v>
      </c>
      <c r="AR21" s="20">
        <v>249</v>
      </c>
      <c r="AS21" s="20">
        <v>11.29032258064516</v>
      </c>
      <c r="AT21" s="7">
        <v>4.0865637267740302</v>
      </c>
      <c r="AU21" s="7">
        <v>-1.5701124369648E-2</v>
      </c>
      <c r="AV21" s="7">
        <v>-9.2394681163811193E-2</v>
      </c>
      <c r="AW21" s="7">
        <v>-6.8560230330489205E-2</v>
      </c>
      <c r="AX21" s="7">
        <v>-3.6769290782647103E-2</v>
      </c>
      <c r="AY21" s="7">
        <v>0.19281169004587401</v>
      </c>
      <c r="AZ21" s="7">
        <v>-1.0788612138575401E-2</v>
      </c>
      <c r="BE21" s="2">
        <v>242</v>
      </c>
      <c r="BF21" s="3">
        <f t="shared" si="2"/>
        <v>43.761301989150091</v>
      </c>
      <c r="BG21" s="9">
        <v>5530</v>
      </c>
      <c r="BH21">
        <v>2700</v>
      </c>
      <c r="BI21">
        <v>2830</v>
      </c>
      <c r="BJ21">
        <v>1150</v>
      </c>
      <c r="BK21">
        <v>545</v>
      </c>
      <c r="BL21">
        <v>1445</v>
      </c>
      <c r="BM21">
        <v>1370</v>
      </c>
      <c r="BN21">
        <v>1015</v>
      </c>
      <c r="BO21">
        <v>2515</v>
      </c>
      <c r="BP21">
        <v>2425</v>
      </c>
      <c r="BQ21">
        <v>360</v>
      </c>
      <c r="BR21">
        <v>235</v>
      </c>
      <c r="BS21">
        <v>3730</v>
      </c>
      <c r="BT21">
        <v>350</v>
      </c>
      <c r="BU21">
        <v>1445</v>
      </c>
      <c r="BV21">
        <v>3730</v>
      </c>
      <c r="BW21">
        <v>175</v>
      </c>
      <c r="BX21">
        <v>950</v>
      </c>
      <c r="BY21">
        <v>180</v>
      </c>
      <c r="BZ21">
        <v>495</v>
      </c>
      <c r="CA21" s="1">
        <v>2220</v>
      </c>
      <c r="CB21" s="1">
        <v>590</v>
      </c>
      <c r="CC21" s="1">
        <v>635</v>
      </c>
      <c r="CD21" s="1">
        <v>995</v>
      </c>
      <c r="CE21" s="1">
        <v>2.5</v>
      </c>
      <c r="CF21" s="1" t="s">
        <v>370</v>
      </c>
      <c r="CG21" s="1" t="s">
        <v>371</v>
      </c>
      <c r="CH21" s="1" t="s">
        <v>372</v>
      </c>
      <c r="CI21" s="1" t="s">
        <v>373</v>
      </c>
      <c r="CJ21" s="1" t="s">
        <v>285</v>
      </c>
      <c r="CK21" s="1" t="s">
        <v>90</v>
      </c>
      <c r="CL21" s="1" t="s">
        <v>146</v>
      </c>
      <c r="CM21" s="1" t="s">
        <v>200</v>
      </c>
      <c r="CN21" s="1" t="s">
        <v>73</v>
      </c>
      <c r="CO21" s="1" t="s">
        <v>253</v>
      </c>
      <c r="CP21" s="1" t="s">
        <v>86</v>
      </c>
      <c r="CQ21" s="1" t="s">
        <v>111</v>
      </c>
      <c r="CR21" s="1" t="s">
        <v>110</v>
      </c>
      <c r="CS21" s="1" t="s">
        <v>374</v>
      </c>
      <c r="CT21" s="1" t="s">
        <v>147</v>
      </c>
      <c r="CU21" s="1" t="s">
        <v>148</v>
      </c>
      <c r="CV21" s="1" t="s">
        <v>145</v>
      </c>
      <c r="CW21" s="1">
        <v>770</v>
      </c>
      <c r="CX21" s="1">
        <v>5</v>
      </c>
      <c r="CY21" s="1">
        <v>125</v>
      </c>
      <c r="CZ21" s="1">
        <v>145</v>
      </c>
      <c r="DA21" s="1">
        <v>50</v>
      </c>
      <c r="DB21" s="1">
        <v>30</v>
      </c>
      <c r="DC21" s="1">
        <v>165</v>
      </c>
      <c r="DD21" s="1">
        <v>170</v>
      </c>
      <c r="DE21" s="1">
        <v>85</v>
      </c>
      <c r="DF21" s="1" t="s">
        <v>375</v>
      </c>
      <c r="DG21" s="1" t="s">
        <v>376</v>
      </c>
      <c r="DH21" s="1" t="s">
        <v>377</v>
      </c>
      <c r="DI21" s="1" t="s">
        <v>366</v>
      </c>
      <c r="DJ21" s="1" t="s">
        <v>378</v>
      </c>
      <c r="DK21" s="1" t="s">
        <v>379</v>
      </c>
      <c r="DL21">
        <v>305</v>
      </c>
      <c r="DM21">
        <v>290</v>
      </c>
      <c r="DN21">
        <v>16</v>
      </c>
      <c r="DO21" s="1">
        <v>2</v>
      </c>
      <c r="DP21" s="1">
        <v>2390</v>
      </c>
    </row>
    <row r="22" spans="1:120" x14ac:dyDescent="0.3">
      <c r="A22" s="57" t="s">
        <v>380</v>
      </c>
      <c r="B22" s="57" t="s">
        <v>381</v>
      </c>
      <c r="C22" s="57" t="s">
        <v>475</v>
      </c>
      <c r="D22" s="57" t="s">
        <v>264</v>
      </c>
      <c r="E22" s="57" t="s">
        <v>71</v>
      </c>
      <c r="F22" s="57" t="s">
        <v>380</v>
      </c>
      <c r="G22">
        <v>14260</v>
      </c>
      <c r="H22">
        <v>242</v>
      </c>
      <c r="I22">
        <v>32</v>
      </c>
      <c r="J22">
        <v>68</v>
      </c>
      <c r="K22">
        <v>85</v>
      </c>
      <c r="L22">
        <v>15</v>
      </c>
      <c r="M22">
        <v>4950</v>
      </c>
      <c r="N22">
        <v>1260</v>
      </c>
      <c r="O22">
        <v>1400</v>
      </c>
      <c r="P22">
        <v>730</v>
      </c>
      <c r="Q22">
        <v>470</v>
      </c>
      <c r="R22" s="8">
        <f t="shared" si="0"/>
        <v>3.2959326788218792</v>
      </c>
      <c r="S22">
        <v>360</v>
      </c>
      <c r="T22">
        <v>120</v>
      </c>
      <c r="U22">
        <v>4270</v>
      </c>
      <c r="V22">
        <v>4540</v>
      </c>
      <c r="W22">
        <v>2130</v>
      </c>
      <c r="X22">
        <v>10900</v>
      </c>
      <c r="Y22">
        <v>6.3</v>
      </c>
      <c r="Z22">
        <v>12.7</v>
      </c>
      <c r="AE22">
        <v>5.9</v>
      </c>
      <c r="AF22">
        <v>1425</v>
      </c>
      <c r="AG22">
        <v>147</v>
      </c>
      <c r="AH22" s="8">
        <f t="shared" si="1"/>
        <v>9.6938775510204085</v>
      </c>
      <c r="AI22" t="e">
        <f>VLOOKUP(F22,#REF!, 2, FALSE)</f>
        <v>#REF!</v>
      </c>
      <c r="AJ22" t="e">
        <f>VLOOKUP(F22,#REF!, 3, FALSE)</f>
        <v>#REF!</v>
      </c>
      <c r="AK22" s="17">
        <v>18</v>
      </c>
      <c r="AL22" s="15">
        <v>39.031078610603295</v>
      </c>
      <c r="AM22" s="15">
        <v>41.49908592321755</v>
      </c>
      <c r="AN22" s="15">
        <v>19.469835466179159</v>
      </c>
      <c r="AO22" s="20">
        <v>4.7</v>
      </c>
      <c r="AP22" s="20">
        <v>13942000</v>
      </c>
      <c r="AQ22" s="20">
        <v>1108000</v>
      </c>
      <c r="AR22" s="20">
        <v>225</v>
      </c>
      <c r="AS22" s="20">
        <v>32.44916003536693</v>
      </c>
      <c r="AT22" s="7">
        <v>3.9234106457334401</v>
      </c>
      <c r="AU22" s="7">
        <v>-0.17885420541024299</v>
      </c>
      <c r="AV22" s="7">
        <v>-2.11765629296655E-2</v>
      </c>
      <c r="AW22" s="7">
        <v>-0.17888255682868801</v>
      </c>
      <c r="AX22" s="7">
        <v>-7.89661060973956E-2</v>
      </c>
      <c r="AY22" s="7">
        <v>0.172444075529507</v>
      </c>
      <c r="AZ22" s="7">
        <v>-7.2273055084001697E-2</v>
      </c>
      <c r="BA22" s="4">
        <v>14</v>
      </c>
      <c r="BB22" s="4">
        <v>29</v>
      </c>
      <c r="BC22" s="4">
        <v>2</v>
      </c>
      <c r="BD22" s="4">
        <v>2</v>
      </c>
      <c r="BE22" s="2">
        <v>415</v>
      </c>
      <c r="BF22" s="3">
        <f t="shared" si="2"/>
        <v>28.116531165311653</v>
      </c>
      <c r="BG22" s="9">
        <v>14760</v>
      </c>
      <c r="BH22">
        <v>7260</v>
      </c>
      <c r="BI22">
        <v>7500</v>
      </c>
      <c r="BJ22">
        <v>2570</v>
      </c>
      <c r="BK22">
        <v>1745</v>
      </c>
      <c r="BL22">
        <v>4420</v>
      </c>
      <c r="BM22">
        <v>3630</v>
      </c>
      <c r="BN22">
        <v>2395</v>
      </c>
      <c r="BO22">
        <v>7990</v>
      </c>
      <c r="BP22">
        <v>4785</v>
      </c>
      <c r="BQ22">
        <v>1330</v>
      </c>
      <c r="BR22">
        <v>655</v>
      </c>
      <c r="BS22">
        <v>4480</v>
      </c>
      <c r="BT22">
        <v>1655</v>
      </c>
      <c r="BU22">
        <v>8625</v>
      </c>
      <c r="BV22">
        <v>4480</v>
      </c>
      <c r="BW22">
        <v>490</v>
      </c>
      <c r="BX22">
        <v>4150</v>
      </c>
      <c r="BY22">
        <v>1165</v>
      </c>
      <c r="BZ22">
        <v>4475</v>
      </c>
      <c r="CA22" s="1">
        <v>6900</v>
      </c>
      <c r="CB22" s="1">
        <v>2920</v>
      </c>
      <c r="CC22" s="1">
        <v>1530</v>
      </c>
      <c r="CD22" s="1">
        <v>2450</v>
      </c>
      <c r="CE22" s="1">
        <v>2.1</v>
      </c>
      <c r="CF22" s="1" t="s">
        <v>382</v>
      </c>
      <c r="CG22" s="1" t="s">
        <v>383</v>
      </c>
      <c r="CH22" s="1" t="s">
        <v>384</v>
      </c>
      <c r="CI22" s="1" t="s">
        <v>385</v>
      </c>
      <c r="CJ22" s="1" t="s">
        <v>253</v>
      </c>
      <c r="CK22" s="1" t="s">
        <v>128</v>
      </c>
      <c r="CL22" s="1" t="s">
        <v>73</v>
      </c>
      <c r="CM22" s="1" t="s">
        <v>76</v>
      </c>
      <c r="CN22" s="1" t="s">
        <v>76</v>
      </c>
      <c r="CO22" s="1" t="s">
        <v>285</v>
      </c>
      <c r="CP22" s="1" t="s">
        <v>74</v>
      </c>
      <c r="CQ22" s="1" t="s">
        <v>84</v>
      </c>
      <c r="CR22" s="1" t="s">
        <v>87</v>
      </c>
      <c r="CS22" s="1" t="s">
        <v>129</v>
      </c>
      <c r="CT22" s="1" t="s">
        <v>374</v>
      </c>
      <c r="CU22" s="1" t="s">
        <v>186</v>
      </c>
      <c r="CV22" s="1" t="s">
        <v>149</v>
      </c>
      <c r="CW22" s="1">
        <v>1630</v>
      </c>
      <c r="CX22" s="1">
        <v>25</v>
      </c>
      <c r="CY22" s="1">
        <v>450</v>
      </c>
      <c r="CZ22" s="1">
        <v>195</v>
      </c>
      <c r="DA22" s="1">
        <v>140</v>
      </c>
      <c r="DB22" s="1">
        <v>25</v>
      </c>
      <c r="DC22" s="1">
        <v>320</v>
      </c>
      <c r="DD22" s="1">
        <v>360</v>
      </c>
      <c r="DE22" s="1">
        <v>115</v>
      </c>
      <c r="DF22" s="1" t="s">
        <v>386</v>
      </c>
      <c r="DG22" s="1" t="s">
        <v>387</v>
      </c>
      <c r="DH22" s="1" t="s">
        <v>388</v>
      </c>
      <c r="DI22" s="1" t="s">
        <v>275</v>
      </c>
      <c r="DJ22" s="1" t="s">
        <v>389</v>
      </c>
      <c r="DK22" s="1" t="s">
        <v>390</v>
      </c>
      <c r="DL22">
        <v>153</v>
      </c>
      <c r="DM22">
        <v>147</v>
      </c>
      <c r="DN22">
        <v>6</v>
      </c>
      <c r="DO22" s="1">
        <v>1</v>
      </c>
      <c r="DP22" s="1">
        <v>3696</v>
      </c>
    </row>
    <row r="23" spans="1:120" x14ac:dyDescent="0.3">
      <c r="A23" s="57" t="s">
        <v>411</v>
      </c>
      <c r="B23" s="57" t="s">
        <v>412</v>
      </c>
      <c r="C23" s="57" t="s">
        <v>478</v>
      </c>
      <c r="D23" s="57" t="s">
        <v>264</v>
      </c>
      <c r="E23" s="57" t="s">
        <v>71</v>
      </c>
      <c r="F23" s="57" t="s">
        <v>411</v>
      </c>
      <c r="G23">
        <v>9560</v>
      </c>
      <c r="H23">
        <v>229</v>
      </c>
      <c r="I23">
        <v>33</v>
      </c>
      <c r="J23">
        <v>67</v>
      </c>
      <c r="K23">
        <v>90</v>
      </c>
      <c r="L23">
        <v>10</v>
      </c>
      <c r="O23">
        <v>920</v>
      </c>
      <c r="P23">
        <v>520</v>
      </c>
      <c r="Q23">
        <v>320</v>
      </c>
      <c r="R23" s="8">
        <f t="shared" si="0"/>
        <v>3.3472803347280333</v>
      </c>
      <c r="S23">
        <v>190</v>
      </c>
      <c r="T23">
        <v>50</v>
      </c>
      <c r="U23">
        <v>2750</v>
      </c>
      <c r="V23">
        <v>2770</v>
      </c>
      <c r="W23">
        <v>1080</v>
      </c>
      <c r="X23">
        <v>7500</v>
      </c>
      <c r="Y23">
        <v>5.0999999999999996</v>
      </c>
      <c r="Z23">
        <v>10.3</v>
      </c>
      <c r="AA23">
        <v>160</v>
      </c>
      <c r="AB23">
        <v>160</v>
      </c>
      <c r="AC23">
        <v>30</v>
      </c>
      <c r="AD23">
        <v>340</v>
      </c>
      <c r="AE23">
        <v>7.2</v>
      </c>
      <c r="AF23">
        <v>705</v>
      </c>
      <c r="AG23">
        <v>102</v>
      </c>
      <c r="AH23" s="8">
        <f t="shared" si="1"/>
        <v>6.9117647058823533</v>
      </c>
      <c r="AK23" s="17">
        <v>26</v>
      </c>
      <c r="AL23" s="15">
        <v>41.666666666666671</v>
      </c>
      <c r="AM23" s="15">
        <v>41.969696969696969</v>
      </c>
      <c r="AN23" s="15">
        <v>16.363636363636363</v>
      </c>
      <c r="AO23" s="20">
        <v>3.6</v>
      </c>
      <c r="AP23" s="20">
        <v>6621000</v>
      </c>
      <c r="AQ23" s="20">
        <v>284000</v>
      </c>
      <c r="AR23" s="20">
        <v>249</v>
      </c>
      <c r="AS23" s="20">
        <v>42.616580310880828</v>
      </c>
      <c r="AT23" s="7">
        <v>3.94468157223625</v>
      </c>
      <c r="AU23" s="7">
        <v>-0.15758327890743201</v>
      </c>
      <c r="AV23" s="7">
        <v>-1.9853199101875101E-2</v>
      </c>
      <c r="AW23" s="7">
        <v>-0.11246495904407</v>
      </c>
      <c r="AX23" s="7">
        <v>-6.5702388533395301E-2</v>
      </c>
      <c r="AY23" s="7">
        <v>8.7399325386802201E-2</v>
      </c>
      <c r="AZ23" s="7">
        <v>-4.6962057614893499E-2</v>
      </c>
      <c r="BA23" s="4">
        <v>12</v>
      </c>
      <c r="BB23" s="4">
        <v>29</v>
      </c>
      <c r="BC23" s="4">
        <v>2</v>
      </c>
      <c r="BD23" s="4">
        <v>2</v>
      </c>
      <c r="BE23" s="2">
        <v>373</v>
      </c>
      <c r="BF23" s="3">
        <f t="shared" si="2"/>
        <v>38.632832729155879</v>
      </c>
      <c r="BG23" s="9">
        <v>9655</v>
      </c>
      <c r="BH23">
        <v>4455</v>
      </c>
      <c r="BI23">
        <v>5205</v>
      </c>
      <c r="BJ23">
        <v>1700</v>
      </c>
      <c r="BK23">
        <v>1105</v>
      </c>
      <c r="BL23">
        <v>2525</v>
      </c>
      <c r="BM23">
        <v>2155</v>
      </c>
      <c r="BN23">
        <v>2175</v>
      </c>
      <c r="BO23">
        <v>5015</v>
      </c>
      <c r="BP23">
        <v>2895</v>
      </c>
      <c r="BQ23">
        <v>1040</v>
      </c>
      <c r="BR23">
        <v>705</v>
      </c>
      <c r="BS23">
        <v>4620</v>
      </c>
      <c r="BT23">
        <v>895</v>
      </c>
      <c r="BU23">
        <v>4135</v>
      </c>
      <c r="BV23">
        <v>4625</v>
      </c>
      <c r="BW23">
        <v>350</v>
      </c>
      <c r="BX23">
        <v>2055</v>
      </c>
      <c r="BY23">
        <v>545</v>
      </c>
      <c r="BZ23">
        <v>2080</v>
      </c>
      <c r="CA23" s="1">
        <v>4770</v>
      </c>
      <c r="CB23" s="1">
        <v>2170</v>
      </c>
      <c r="CC23" s="1">
        <v>1025</v>
      </c>
      <c r="CD23" s="1">
        <v>1580</v>
      </c>
      <c r="CE23" s="1">
        <v>2</v>
      </c>
      <c r="CF23" s="1" t="s">
        <v>413</v>
      </c>
      <c r="CG23" s="1" t="s">
        <v>414</v>
      </c>
      <c r="CH23" s="1" t="s">
        <v>415</v>
      </c>
      <c r="CI23" s="1" t="s">
        <v>416</v>
      </c>
      <c r="CJ23" s="1" t="s">
        <v>149</v>
      </c>
      <c r="CK23" s="1" t="s">
        <v>74</v>
      </c>
      <c r="CL23" s="1" t="s">
        <v>86</v>
      </c>
      <c r="CM23" s="1" t="s">
        <v>76</v>
      </c>
      <c r="CN23" s="1" t="s">
        <v>76</v>
      </c>
      <c r="CO23" s="1" t="s">
        <v>186</v>
      </c>
      <c r="CP23" s="1" t="s">
        <v>108</v>
      </c>
      <c r="CQ23" s="1" t="s">
        <v>215</v>
      </c>
      <c r="CR23" s="1" t="s">
        <v>308</v>
      </c>
      <c r="CS23" s="1" t="s">
        <v>255</v>
      </c>
      <c r="CT23" s="1" t="s">
        <v>172</v>
      </c>
      <c r="CU23" s="1" t="s">
        <v>113</v>
      </c>
      <c r="CV23" s="1" t="s">
        <v>114</v>
      </c>
      <c r="CW23" s="1">
        <v>790</v>
      </c>
      <c r="CX23" s="1">
        <v>10</v>
      </c>
      <c r="CY23" s="1">
        <v>190</v>
      </c>
      <c r="CZ23" s="1">
        <v>110</v>
      </c>
      <c r="DA23" s="1">
        <v>65</v>
      </c>
      <c r="DB23" s="1">
        <v>10</v>
      </c>
      <c r="DC23" s="1">
        <v>150</v>
      </c>
      <c r="DD23" s="1">
        <v>180</v>
      </c>
      <c r="DE23" s="1">
        <v>75</v>
      </c>
      <c r="DF23" s="1" t="s">
        <v>417</v>
      </c>
      <c r="DG23" s="1" t="s">
        <v>418</v>
      </c>
      <c r="DH23" s="1" t="s">
        <v>419</v>
      </c>
      <c r="DI23" s="1" t="s">
        <v>275</v>
      </c>
      <c r="DJ23" s="1" t="s">
        <v>420</v>
      </c>
      <c r="DK23" s="1" t="s">
        <v>421</v>
      </c>
      <c r="DL23">
        <v>104</v>
      </c>
      <c r="DM23">
        <v>102</v>
      </c>
      <c r="DN23">
        <v>3</v>
      </c>
      <c r="DO23" s="1">
        <v>1</v>
      </c>
      <c r="DP23" s="1">
        <v>3110</v>
      </c>
    </row>
    <row r="24" spans="1:120" x14ac:dyDescent="0.3">
      <c r="A24" s="57" t="s">
        <v>422</v>
      </c>
      <c r="B24" s="57" t="s">
        <v>423</v>
      </c>
      <c r="C24" s="57" t="s">
        <v>479</v>
      </c>
      <c r="D24" s="57" t="s">
        <v>264</v>
      </c>
      <c r="E24" s="57" t="s">
        <v>71</v>
      </c>
      <c r="F24" s="57" t="s">
        <v>422</v>
      </c>
      <c r="G24">
        <v>15</v>
      </c>
      <c r="I24">
        <v>4</v>
      </c>
      <c r="J24">
        <v>96</v>
      </c>
      <c r="K24">
        <v>100</v>
      </c>
      <c r="L24">
        <v>0</v>
      </c>
      <c r="O24">
        <v>0</v>
      </c>
      <c r="P24">
        <v>0</v>
      </c>
      <c r="Q24">
        <v>0</v>
      </c>
      <c r="R24" s="8"/>
      <c r="S24">
        <v>0</v>
      </c>
      <c r="T24">
        <v>0</v>
      </c>
      <c r="X24">
        <v>0</v>
      </c>
      <c r="AA24">
        <v>60</v>
      </c>
      <c r="AB24">
        <v>60</v>
      </c>
      <c r="AC24">
        <v>10</v>
      </c>
      <c r="AD24">
        <v>380</v>
      </c>
      <c r="AF24">
        <v>495</v>
      </c>
      <c r="AG24">
        <v>108</v>
      </c>
      <c r="AH24" s="8">
        <f t="shared" si="1"/>
        <v>4.583333333333333</v>
      </c>
      <c r="AK24" s="17"/>
      <c r="AL24" s="15"/>
      <c r="AM24" s="15"/>
      <c r="AN24" s="15"/>
      <c r="AO24" s="20">
        <v>0</v>
      </c>
      <c r="AP24" s="20">
        <v>28035000</v>
      </c>
      <c r="AQ24" s="20">
        <v>2664000</v>
      </c>
      <c r="AR24" s="20">
        <v>353</v>
      </c>
      <c r="AS24" s="20"/>
      <c r="AT24" s="7">
        <v>4.0879435965853999</v>
      </c>
      <c r="AU24" s="7">
        <v>-1.43212545582791E-2</v>
      </c>
      <c r="AV24" s="7">
        <v>-0.11403745323200799</v>
      </c>
      <c r="AW24" s="7">
        <v>-3.3538683883343898E-2</v>
      </c>
      <c r="AX24" s="7">
        <v>4.1990924445162899E-2</v>
      </c>
      <c r="AY24" s="7">
        <v>3.9805929470242203E-2</v>
      </c>
      <c r="AZ24" s="7">
        <v>5.1458028641667798E-2</v>
      </c>
      <c r="BE24" s="2">
        <v>22</v>
      </c>
      <c r="BG24" s="9">
        <v>15</v>
      </c>
      <c r="BH24">
        <v>10</v>
      </c>
      <c r="BI24">
        <v>5</v>
      </c>
      <c r="BJ24">
        <v>0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10</v>
      </c>
      <c r="BQ24">
        <v>0</v>
      </c>
      <c r="BR24">
        <v>0</v>
      </c>
      <c r="BS24">
        <v>10</v>
      </c>
      <c r="BT24">
        <v>0</v>
      </c>
      <c r="BU24">
        <v>5</v>
      </c>
      <c r="BV24">
        <v>15</v>
      </c>
      <c r="BW24">
        <v>0</v>
      </c>
      <c r="BX24">
        <v>0</v>
      </c>
      <c r="BY24">
        <v>0</v>
      </c>
      <c r="BZ24">
        <v>5</v>
      </c>
      <c r="CA24" s="1">
        <v>15</v>
      </c>
      <c r="CB24" s="1">
        <v>5</v>
      </c>
      <c r="CC24" s="1">
        <v>0</v>
      </c>
      <c r="CD24" s="1">
        <v>5</v>
      </c>
      <c r="CE24" s="1">
        <v>1.3</v>
      </c>
      <c r="CF24" s="1" t="s">
        <v>317</v>
      </c>
      <c r="CG24" s="1" t="s">
        <v>424</v>
      </c>
      <c r="CH24" s="1" t="s">
        <v>425</v>
      </c>
      <c r="CI24" s="1" t="s">
        <v>72</v>
      </c>
      <c r="CJ24" s="1" t="s">
        <v>128</v>
      </c>
      <c r="CK24" s="1" t="s">
        <v>108</v>
      </c>
      <c r="CL24" s="1" t="s">
        <v>108</v>
      </c>
      <c r="CM24" s="1" t="s">
        <v>76</v>
      </c>
      <c r="CN24" s="1" t="s">
        <v>108</v>
      </c>
      <c r="CO24" s="1" t="s">
        <v>153</v>
      </c>
      <c r="CP24" s="1" t="s">
        <v>255</v>
      </c>
      <c r="CQ24" s="1" t="s">
        <v>108</v>
      </c>
      <c r="CR24" s="1" t="s">
        <v>426</v>
      </c>
      <c r="CS24" s="1" t="s">
        <v>76</v>
      </c>
      <c r="CT24" s="1" t="s">
        <v>426</v>
      </c>
      <c r="CU24" s="1" t="s">
        <v>167</v>
      </c>
      <c r="CV24" s="1" t="s">
        <v>76</v>
      </c>
      <c r="CW24" s="1">
        <v>475</v>
      </c>
      <c r="CX24" s="1">
        <v>0</v>
      </c>
      <c r="CY24" s="1">
        <v>100</v>
      </c>
      <c r="CZ24" s="1">
        <v>155</v>
      </c>
      <c r="DA24" s="1">
        <v>40</v>
      </c>
      <c r="DB24" s="1">
        <v>25</v>
      </c>
      <c r="DC24" s="1">
        <v>100</v>
      </c>
      <c r="DD24" s="1">
        <v>30</v>
      </c>
      <c r="DE24" s="1">
        <v>20</v>
      </c>
      <c r="DF24" s="1" t="s">
        <v>427</v>
      </c>
      <c r="DG24" s="1" t="s">
        <v>168</v>
      </c>
      <c r="DH24" s="1" t="s">
        <v>428</v>
      </c>
      <c r="DI24" s="1" t="s">
        <v>72</v>
      </c>
      <c r="DJ24" s="1" t="s">
        <v>72</v>
      </c>
      <c r="DK24" s="1" t="s">
        <v>172</v>
      </c>
      <c r="DL24">
        <v>115</v>
      </c>
      <c r="DM24">
        <v>108</v>
      </c>
      <c r="DN24">
        <v>7</v>
      </c>
      <c r="DO24" s="1">
        <v>3</v>
      </c>
      <c r="DP24" s="1">
        <v>1238</v>
      </c>
    </row>
    <row r="25" spans="1:120" x14ac:dyDescent="0.3">
      <c r="A25" s="57" t="s">
        <v>439</v>
      </c>
      <c r="B25" s="57" t="s">
        <v>440</v>
      </c>
      <c r="C25" s="57" t="s">
        <v>481</v>
      </c>
      <c r="D25" s="57" t="s">
        <v>264</v>
      </c>
      <c r="E25" s="57" t="s">
        <v>71</v>
      </c>
      <c r="F25" s="57" t="s">
        <v>439</v>
      </c>
      <c r="G25">
        <v>7275</v>
      </c>
      <c r="H25">
        <v>312</v>
      </c>
      <c r="I25">
        <v>56</v>
      </c>
      <c r="J25">
        <v>44</v>
      </c>
      <c r="K25">
        <v>99</v>
      </c>
      <c r="L25">
        <v>1</v>
      </c>
      <c r="M25">
        <v>2500</v>
      </c>
      <c r="N25">
        <v>970</v>
      </c>
      <c r="O25">
        <v>570</v>
      </c>
      <c r="P25">
        <v>370</v>
      </c>
      <c r="Q25">
        <v>210</v>
      </c>
      <c r="R25" s="8">
        <f t="shared" si="0"/>
        <v>2.8865979381443299</v>
      </c>
      <c r="S25">
        <v>150</v>
      </c>
      <c r="T25">
        <v>60</v>
      </c>
      <c r="U25">
        <v>1610</v>
      </c>
      <c r="V25">
        <v>2490</v>
      </c>
      <c r="W25">
        <v>1190</v>
      </c>
      <c r="X25">
        <v>5900</v>
      </c>
      <c r="Y25">
        <v>2.2999999999999998</v>
      </c>
      <c r="Z25">
        <v>5.0999999999999996</v>
      </c>
      <c r="AE25">
        <v>6.1</v>
      </c>
      <c r="AF25">
        <v>560</v>
      </c>
      <c r="AG25">
        <v>98</v>
      </c>
      <c r="AH25" s="8">
        <f t="shared" si="1"/>
        <v>5.7142857142857144</v>
      </c>
      <c r="AK25" s="17">
        <v>4.3999999999999995</v>
      </c>
      <c r="AL25" s="15">
        <v>30.434782608695656</v>
      </c>
      <c r="AM25" s="15">
        <v>47.069943289224952</v>
      </c>
      <c r="AN25" s="15">
        <v>22.495274102079396</v>
      </c>
      <c r="AO25" s="20">
        <v>2.4</v>
      </c>
      <c r="AP25" s="20">
        <v>3524000</v>
      </c>
      <c r="AQ25" s="20">
        <v>285000</v>
      </c>
      <c r="AR25" s="20">
        <v>250</v>
      </c>
      <c r="AS25" s="20">
        <v>4.460093896713615</v>
      </c>
      <c r="AT25" s="7">
        <v>4.1187889215920999</v>
      </c>
      <c r="AU25" s="7">
        <v>1.65240704484216E-2</v>
      </c>
      <c r="AV25" s="7">
        <v>2.6089946059087098E-3</v>
      </c>
      <c r="AW25" s="7">
        <v>6.5531631043620102E-3</v>
      </c>
      <c r="AX25" s="7">
        <v>-1.3967285761735899E-2</v>
      </c>
      <c r="AY25" s="7">
        <v>1.2950475644564099E-2</v>
      </c>
      <c r="AZ25" s="7">
        <v>8.3787228553224794E-3</v>
      </c>
      <c r="BA25" s="4">
        <v>1</v>
      </c>
      <c r="BB25" s="4">
        <v>12</v>
      </c>
      <c r="BD25" s="4">
        <v>1</v>
      </c>
      <c r="BE25" s="2">
        <v>169</v>
      </c>
      <c r="BF25" s="3">
        <f t="shared" si="2"/>
        <v>23.087431693989071</v>
      </c>
      <c r="BG25" s="9">
        <v>7320</v>
      </c>
      <c r="BH25">
        <v>3520</v>
      </c>
      <c r="BI25">
        <v>3795</v>
      </c>
      <c r="BJ25">
        <v>1100</v>
      </c>
      <c r="BK25">
        <v>760</v>
      </c>
      <c r="BL25">
        <v>1660</v>
      </c>
      <c r="BM25">
        <v>1825</v>
      </c>
      <c r="BN25">
        <v>1980</v>
      </c>
      <c r="BO25">
        <v>3145</v>
      </c>
      <c r="BP25">
        <v>3055</v>
      </c>
      <c r="BQ25">
        <v>625</v>
      </c>
      <c r="BR25">
        <v>490</v>
      </c>
      <c r="BS25">
        <v>5410</v>
      </c>
      <c r="BT25">
        <v>510</v>
      </c>
      <c r="BU25">
        <v>1400</v>
      </c>
      <c r="BV25">
        <v>5410</v>
      </c>
      <c r="BW25">
        <v>255</v>
      </c>
      <c r="BX25">
        <v>795</v>
      </c>
      <c r="BY25">
        <v>250</v>
      </c>
      <c r="BZ25">
        <v>605</v>
      </c>
      <c r="CA25" s="1">
        <v>3330</v>
      </c>
      <c r="CB25" s="1">
        <v>1225</v>
      </c>
      <c r="CC25" s="1">
        <v>950</v>
      </c>
      <c r="CD25" s="1">
        <v>1155</v>
      </c>
      <c r="CE25" s="1">
        <v>2.2000000000000002</v>
      </c>
      <c r="CF25" s="1" t="s">
        <v>441</v>
      </c>
      <c r="CG25" s="1" t="s">
        <v>442</v>
      </c>
      <c r="CH25" s="1" t="s">
        <v>257</v>
      </c>
      <c r="CI25" s="1" t="s">
        <v>443</v>
      </c>
      <c r="CJ25" s="1" t="s">
        <v>227</v>
      </c>
      <c r="CK25" s="1" t="s">
        <v>198</v>
      </c>
      <c r="CL25" s="1" t="s">
        <v>284</v>
      </c>
      <c r="CM25" s="1" t="s">
        <v>76</v>
      </c>
      <c r="CN25" s="1" t="s">
        <v>76</v>
      </c>
      <c r="CO25" s="1" t="s">
        <v>226</v>
      </c>
      <c r="CP25" s="1" t="s">
        <v>114</v>
      </c>
      <c r="CQ25" s="1" t="s">
        <v>227</v>
      </c>
      <c r="CR25" s="1" t="s">
        <v>226</v>
      </c>
      <c r="CS25" s="1" t="s">
        <v>91</v>
      </c>
      <c r="CT25" s="1" t="s">
        <v>200</v>
      </c>
      <c r="CU25" s="1" t="s">
        <v>167</v>
      </c>
      <c r="CV25" s="1" t="s">
        <v>76</v>
      </c>
      <c r="CW25" s="1">
        <v>625</v>
      </c>
      <c r="CX25" s="1">
        <v>5</v>
      </c>
      <c r="CY25" s="1">
        <v>145</v>
      </c>
      <c r="CZ25" s="1">
        <v>75</v>
      </c>
      <c r="DA25" s="1">
        <v>65</v>
      </c>
      <c r="DB25" s="1">
        <v>20</v>
      </c>
      <c r="DC25" s="1">
        <v>155</v>
      </c>
      <c r="DD25" s="1">
        <v>110</v>
      </c>
      <c r="DE25" s="1">
        <v>60</v>
      </c>
      <c r="DF25" s="1" t="s">
        <v>444</v>
      </c>
      <c r="DG25" s="1" t="s">
        <v>445</v>
      </c>
      <c r="DH25" s="1" t="s">
        <v>446</v>
      </c>
      <c r="DI25" s="1" t="s">
        <v>135</v>
      </c>
      <c r="DJ25" s="1" t="s">
        <v>447</v>
      </c>
      <c r="DK25" s="1" t="s">
        <v>448</v>
      </c>
      <c r="DL25">
        <v>101</v>
      </c>
      <c r="DM25">
        <v>98</v>
      </c>
      <c r="DN25">
        <v>3</v>
      </c>
      <c r="DO25" s="1">
        <v>1</v>
      </c>
      <c r="DP25" s="1">
        <v>2616</v>
      </c>
    </row>
    <row r="26" spans="1:120" x14ac:dyDescent="0.3">
      <c r="A26" s="57" t="s">
        <v>449</v>
      </c>
      <c r="B26" s="57" t="s">
        <v>450</v>
      </c>
      <c r="C26" s="57" t="s">
        <v>482</v>
      </c>
      <c r="D26" s="57" t="s">
        <v>264</v>
      </c>
      <c r="E26" s="57" t="s">
        <v>71</v>
      </c>
      <c r="F26" s="57" t="s">
        <v>449</v>
      </c>
      <c r="G26">
        <v>7895</v>
      </c>
      <c r="H26">
        <v>405</v>
      </c>
      <c r="I26">
        <v>85</v>
      </c>
      <c r="J26">
        <v>15</v>
      </c>
      <c r="K26">
        <v>65</v>
      </c>
      <c r="L26">
        <v>35</v>
      </c>
      <c r="M26">
        <v>4220</v>
      </c>
      <c r="N26">
        <v>1240</v>
      </c>
      <c r="O26">
        <v>590</v>
      </c>
      <c r="P26">
        <v>500</v>
      </c>
      <c r="Q26">
        <v>220</v>
      </c>
      <c r="R26" s="8">
        <f t="shared" si="0"/>
        <v>2.786573780873971</v>
      </c>
      <c r="S26">
        <v>240</v>
      </c>
      <c r="T26">
        <v>100</v>
      </c>
      <c r="U26">
        <v>1490</v>
      </c>
      <c r="V26">
        <v>2890</v>
      </c>
      <c r="W26">
        <v>1920</v>
      </c>
      <c r="X26">
        <v>6400</v>
      </c>
      <c r="Y26">
        <v>0.8</v>
      </c>
      <c r="Z26">
        <v>1.2</v>
      </c>
      <c r="AA26">
        <v>20</v>
      </c>
      <c r="AB26">
        <v>40</v>
      </c>
      <c r="AC26">
        <v>10</v>
      </c>
      <c r="AD26">
        <v>330</v>
      </c>
      <c r="AE26">
        <v>4.5</v>
      </c>
      <c r="AF26">
        <v>695</v>
      </c>
      <c r="AG26">
        <v>116</v>
      </c>
      <c r="AH26" s="8">
        <f t="shared" si="1"/>
        <v>5.9913793103448274</v>
      </c>
      <c r="AK26" s="17">
        <v>0.8</v>
      </c>
      <c r="AL26" s="15">
        <v>23.650793650793648</v>
      </c>
      <c r="AM26" s="15">
        <v>45.873015873015873</v>
      </c>
      <c r="AN26" s="15">
        <v>30.476190476190478</v>
      </c>
      <c r="AO26" s="20">
        <v>2.2000000000000002</v>
      </c>
      <c r="AP26" s="20">
        <v>1790000</v>
      </c>
      <c r="AQ26" s="20">
        <v>140000</v>
      </c>
      <c r="AR26" s="20">
        <v>250</v>
      </c>
      <c r="AS26" s="20"/>
      <c r="AT26" s="7">
        <v>4.1187889215920999</v>
      </c>
      <c r="AU26" s="7">
        <v>1.65240704484216E-2</v>
      </c>
      <c r="AV26" s="7">
        <v>2.6089946059087098E-3</v>
      </c>
      <c r="AW26" s="7">
        <v>6.5531631043620102E-3</v>
      </c>
      <c r="AX26" s="7">
        <v>-1.3967285761735899E-2</v>
      </c>
      <c r="AY26" s="7">
        <v>1.2950475644564099E-2</v>
      </c>
      <c r="AZ26" s="7">
        <v>8.3787228553224794E-3</v>
      </c>
      <c r="BA26" s="4">
        <v>1</v>
      </c>
      <c r="BB26" s="4">
        <v>12</v>
      </c>
      <c r="BD26" s="4">
        <v>1</v>
      </c>
      <c r="BE26" s="2">
        <v>77</v>
      </c>
      <c r="BF26" s="3">
        <f t="shared" si="2"/>
        <v>9.7715736040609151</v>
      </c>
      <c r="BG26" s="9">
        <v>7880</v>
      </c>
      <c r="BH26">
        <v>3945</v>
      </c>
      <c r="BI26">
        <v>3940</v>
      </c>
      <c r="BJ26">
        <v>1170</v>
      </c>
      <c r="BK26">
        <v>1060</v>
      </c>
      <c r="BL26">
        <v>1650</v>
      </c>
      <c r="BM26">
        <v>2720</v>
      </c>
      <c r="BN26">
        <v>1270</v>
      </c>
      <c r="BO26">
        <v>3500</v>
      </c>
      <c r="BP26">
        <v>3740</v>
      </c>
      <c r="BQ26">
        <v>405</v>
      </c>
      <c r="BR26">
        <v>235</v>
      </c>
      <c r="BS26">
        <v>6070</v>
      </c>
      <c r="BT26">
        <v>445</v>
      </c>
      <c r="BU26">
        <v>1365</v>
      </c>
      <c r="BV26">
        <v>6070</v>
      </c>
      <c r="BW26">
        <v>270</v>
      </c>
      <c r="BX26">
        <v>825</v>
      </c>
      <c r="BY26">
        <v>175</v>
      </c>
      <c r="BZ26">
        <v>545</v>
      </c>
      <c r="CA26" s="1">
        <v>3095</v>
      </c>
      <c r="CB26" s="1">
        <v>615</v>
      </c>
      <c r="CC26" s="1">
        <v>1030</v>
      </c>
      <c r="CD26" s="1">
        <v>1450</v>
      </c>
      <c r="CE26" s="1">
        <v>2.5</v>
      </c>
      <c r="CF26" s="1" t="s">
        <v>451</v>
      </c>
      <c r="CG26" s="1" t="s">
        <v>452</v>
      </c>
      <c r="CH26" s="1" t="s">
        <v>350</v>
      </c>
      <c r="CI26" s="1" t="s">
        <v>453</v>
      </c>
      <c r="CJ26" s="1" t="s">
        <v>111</v>
      </c>
      <c r="CK26" s="1" t="s">
        <v>151</v>
      </c>
      <c r="CL26" s="1" t="s">
        <v>284</v>
      </c>
      <c r="CM26" s="1" t="s">
        <v>86</v>
      </c>
      <c r="CN26" s="1" t="s">
        <v>73</v>
      </c>
      <c r="CO26" s="1" t="s">
        <v>110</v>
      </c>
      <c r="CP26" s="1" t="s">
        <v>114</v>
      </c>
      <c r="CQ26" s="1" t="s">
        <v>454</v>
      </c>
      <c r="CR26" s="1" t="s">
        <v>317</v>
      </c>
      <c r="CS26" s="1" t="s">
        <v>172</v>
      </c>
      <c r="CT26" s="1" t="s">
        <v>74</v>
      </c>
      <c r="CU26" s="1" t="s">
        <v>113</v>
      </c>
      <c r="CV26" s="1" t="s">
        <v>114</v>
      </c>
      <c r="CW26" s="1">
        <v>750</v>
      </c>
      <c r="CX26" s="1">
        <v>5</v>
      </c>
      <c r="CY26" s="1">
        <v>110</v>
      </c>
      <c r="CZ26" s="1">
        <v>80</v>
      </c>
      <c r="DA26" s="1">
        <v>75</v>
      </c>
      <c r="DB26" s="1">
        <v>35</v>
      </c>
      <c r="DC26" s="1">
        <v>220</v>
      </c>
      <c r="DD26" s="1">
        <v>150</v>
      </c>
      <c r="DE26" s="1">
        <v>80</v>
      </c>
      <c r="DF26" s="1" t="s">
        <v>455</v>
      </c>
      <c r="DG26" s="1" t="s">
        <v>456</v>
      </c>
      <c r="DH26" s="1" t="s">
        <v>457</v>
      </c>
      <c r="DI26" s="1" t="s">
        <v>402</v>
      </c>
      <c r="DJ26" s="1" t="s">
        <v>458</v>
      </c>
      <c r="DK26" s="1" t="s">
        <v>459</v>
      </c>
      <c r="DL26">
        <v>126</v>
      </c>
      <c r="DM26">
        <v>116</v>
      </c>
      <c r="DN26">
        <v>9</v>
      </c>
      <c r="DO26" s="1">
        <v>2</v>
      </c>
      <c r="DP26" s="1">
        <v>1849</v>
      </c>
    </row>
    <row r="27" spans="1:120" x14ac:dyDescent="0.3">
      <c r="A27" s="57" t="s">
        <v>460</v>
      </c>
      <c r="B27" s="57" t="s">
        <v>461</v>
      </c>
      <c r="C27" s="57" t="s">
        <v>483</v>
      </c>
      <c r="D27" s="57" t="s">
        <v>264</v>
      </c>
      <c r="E27" s="57" t="s">
        <v>71</v>
      </c>
      <c r="F27" s="57" t="s">
        <v>460</v>
      </c>
      <c r="G27">
        <v>425</v>
      </c>
      <c r="H27">
        <v>640</v>
      </c>
      <c r="I27">
        <v>84</v>
      </c>
      <c r="J27">
        <v>16</v>
      </c>
      <c r="K27">
        <v>88</v>
      </c>
      <c r="L27">
        <v>12</v>
      </c>
      <c r="M27">
        <v>3680</v>
      </c>
      <c r="N27">
        <v>1280</v>
      </c>
      <c r="O27">
        <v>30</v>
      </c>
      <c r="P27">
        <v>20</v>
      </c>
      <c r="Q27">
        <v>10</v>
      </c>
      <c r="R27" s="8">
        <f t="shared" si="0"/>
        <v>2.3529411764705883</v>
      </c>
      <c r="S27">
        <v>10</v>
      </c>
      <c r="T27">
        <v>10</v>
      </c>
      <c r="X27">
        <v>400</v>
      </c>
      <c r="Y27">
        <v>2.2000000000000002</v>
      </c>
      <c r="Z27">
        <v>3.9</v>
      </c>
      <c r="AA27">
        <v>0</v>
      </c>
      <c r="AB27">
        <v>10</v>
      </c>
      <c r="AC27">
        <v>10</v>
      </c>
      <c r="AD27">
        <v>70</v>
      </c>
      <c r="AF27">
        <v>110</v>
      </c>
      <c r="AG27">
        <v>348</v>
      </c>
      <c r="AH27" s="8">
        <f t="shared" si="1"/>
        <v>0.31609195402298851</v>
      </c>
      <c r="AK27" s="17">
        <v>3.3000000000000003</v>
      </c>
      <c r="AL27" s="15"/>
      <c r="AM27" s="15"/>
      <c r="AN27" s="15"/>
      <c r="AO27" s="20">
        <v>0.2</v>
      </c>
      <c r="AP27" s="20">
        <v>1181000</v>
      </c>
      <c r="AQ27" s="20">
        <v>88000</v>
      </c>
      <c r="AR27" s="20">
        <v>311</v>
      </c>
      <c r="AS27" s="20">
        <v>62.5</v>
      </c>
      <c r="BE27" s="2">
        <v>8</v>
      </c>
      <c r="BF27" s="3">
        <f t="shared" si="2"/>
        <v>18.604651162790699</v>
      </c>
      <c r="BG27" s="9">
        <v>430</v>
      </c>
      <c r="BH27">
        <v>235</v>
      </c>
      <c r="BI27">
        <v>200</v>
      </c>
      <c r="BJ27">
        <v>50</v>
      </c>
      <c r="BK27">
        <v>50</v>
      </c>
      <c r="BL27">
        <v>90</v>
      </c>
      <c r="BM27">
        <v>150</v>
      </c>
      <c r="BN27">
        <v>90</v>
      </c>
      <c r="BO27">
        <v>205</v>
      </c>
      <c r="BP27">
        <v>180</v>
      </c>
      <c r="BQ27">
        <v>30</v>
      </c>
      <c r="BR27">
        <v>15</v>
      </c>
      <c r="BS27">
        <v>375</v>
      </c>
      <c r="BT27">
        <v>25</v>
      </c>
      <c r="BU27">
        <v>30</v>
      </c>
      <c r="BV27">
        <v>375</v>
      </c>
      <c r="BW27">
        <v>15</v>
      </c>
      <c r="BX27">
        <v>20</v>
      </c>
      <c r="BY27">
        <v>10</v>
      </c>
      <c r="BZ27">
        <v>10</v>
      </c>
      <c r="CA27" s="1">
        <v>185</v>
      </c>
      <c r="CB27" s="1">
        <v>55</v>
      </c>
      <c r="CC27" s="1">
        <v>65</v>
      </c>
      <c r="CD27" s="1">
        <v>70</v>
      </c>
      <c r="CE27" s="1">
        <v>2.2999999999999998</v>
      </c>
      <c r="CF27" s="1" t="s">
        <v>462</v>
      </c>
      <c r="CG27" s="1" t="s">
        <v>207</v>
      </c>
      <c r="CH27" s="1" t="s">
        <v>211</v>
      </c>
      <c r="CI27" s="1" t="s">
        <v>463</v>
      </c>
      <c r="CJ27" s="1" t="s">
        <v>434</v>
      </c>
      <c r="CK27" s="1" t="s">
        <v>149</v>
      </c>
      <c r="CL27" s="1" t="s">
        <v>73</v>
      </c>
      <c r="CM27" s="1" t="s">
        <v>85</v>
      </c>
      <c r="CN27" s="1" t="s">
        <v>182</v>
      </c>
      <c r="CO27" s="1" t="s">
        <v>152</v>
      </c>
      <c r="CP27" s="1" t="s">
        <v>147</v>
      </c>
      <c r="CQ27" s="1" t="s">
        <v>225</v>
      </c>
      <c r="CR27" s="1" t="s">
        <v>92</v>
      </c>
      <c r="CS27" s="1" t="s">
        <v>76</v>
      </c>
      <c r="CT27" s="1" t="s">
        <v>92</v>
      </c>
      <c r="CU27" s="1" t="s">
        <v>113</v>
      </c>
      <c r="CV27" s="1" t="s">
        <v>114</v>
      </c>
      <c r="CW27" s="1">
        <v>105</v>
      </c>
      <c r="CX27" s="1">
        <v>10</v>
      </c>
      <c r="CY27" s="1">
        <v>30</v>
      </c>
      <c r="CZ27" s="1">
        <v>15</v>
      </c>
      <c r="DA27" s="1">
        <v>5</v>
      </c>
      <c r="DB27" s="1">
        <v>5</v>
      </c>
      <c r="DC27" s="1">
        <v>15</v>
      </c>
      <c r="DD27" s="1">
        <v>10</v>
      </c>
      <c r="DE27" s="1">
        <v>15</v>
      </c>
      <c r="DF27" s="1" t="s">
        <v>464</v>
      </c>
      <c r="DG27" s="1" t="s">
        <v>390</v>
      </c>
      <c r="DH27" s="1" t="s">
        <v>150</v>
      </c>
      <c r="DI27" s="1" t="s">
        <v>465</v>
      </c>
      <c r="DJ27" s="1" t="s">
        <v>297</v>
      </c>
      <c r="DK27" s="1" t="s">
        <v>185</v>
      </c>
      <c r="DL27">
        <v>361</v>
      </c>
      <c r="DM27">
        <v>348</v>
      </c>
      <c r="DN27">
        <v>14</v>
      </c>
      <c r="DO27" s="1">
        <v>4</v>
      </c>
      <c r="DP27" s="1">
        <v>773</v>
      </c>
    </row>
    <row r="28" spans="1:120" x14ac:dyDescent="0.3">
      <c r="A28" s="57" t="s">
        <v>77</v>
      </c>
      <c r="B28" s="57" t="s">
        <v>78</v>
      </c>
      <c r="C28" s="57" t="s">
        <v>79</v>
      </c>
      <c r="D28" s="57" t="s">
        <v>70</v>
      </c>
      <c r="E28" s="57" t="s">
        <v>71</v>
      </c>
      <c r="F28" s="57" t="s">
        <v>77</v>
      </c>
      <c r="G28">
        <v>15545</v>
      </c>
      <c r="H28">
        <v>245</v>
      </c>
      <c r="I28">
        <v>48</v>
      </c>
      <c r="J28">
        <v>52</v>
      </c>
      <c r="K28">
        <v>93</v>
      </c>
      <c r="L28">
        <v>7</v>
      </c>
      <c r="M28">
        <v>3610</v>
      </c>
      <c r="N28">
        <v>1610</v>
      </c>
      <c r="O28">
        <v>1230</v>
      </c>
      <c r="P28">
        <v>740</v>
      </c>
      <c r="Q28">
        <v>470</v>
      </c>
      <c r="R28" s="8">
        <f t="shared" si="0"/>
        <v>3.0234802187198455</v>
      </c>
      <c r="S28">
        <v>340</v>
      </c>
      <c r="T28">
        <v>90</v>
      </c>
      <c r="U28">
        <v>4220</v>
      </c>
      <c r="V28">
        <v>5400</v>
      </c>
      <c r="W28">
        <v>2630</v>
      </c>
      <c r="X28">
        <v>12600</v>
      </c>
      <c r="Y28">
        <v>4.2</v>
      </c>
      <c r="Z28">
        <v>7.9</v>
      </c>
      <c r="AA28">
        <v>2450</v>
      </c>
      <c r="AB28">
        <v>2970</v>
      </c>
      <c r="AC28">
        <v>740</v>
      </c>
      <c r="AD28">
        <v>14260</v>
      </c>
      <c r="AE28">
        <v>6.6</v>
      </c>
      <c r="AF28">
        <v>1845</v>
      </c>
      <c r="AG28">
        <v>175</v>
      </c>
      <c r="AH28" s="8">
        <f t="shared" si="1"/>
        <v>10.542857142857143</v>
      </c>
      <c r="AI28" t="e">
        <f>VLOOKUP(F28,#REF!, 2, FALSE)</f>
        <v>#REF!</v>
      </c>
      <c r="AJ28" t="e">
        <f>VLOOKUP(F28,#REF!, 3, FALSE)</f>
        <v>#REF!</v>
      </c>
      <c r="AK28" s="17">
        <v>13.700000000000001</v>
      </c>
      <c r="AL28" s="15">
        <v>34.448979591836739</v>
      </c>
      <c r="AM28" s="15">
        <v>44.081632653061227</v>
      </c>
      <c r="AN28" s="15">
        <v>21.469387755102041</v>
      </c>
      <c r="AO28" s="20">
        <v>6.4</v>
      </c>
      <c r="AP28" s="20">
        <v>19032000</v>
      </c>
      <c r="AQ28" s="20">
        <v>1669000</v>
      </c>
      <c r="AR28" s="20">
        <v>251</v>
      </c>
      <c r="AS28" s="20">
        <v>24.173748819641173</v>
      </c>
      <c r="AT28" s="7">
        <v>3.9379190935267498</v>
      </c>
      <c r="AU28" s="7">
        <v>-0.16434575761692799</v>
      </c>
      <c r="AV28" s="7">
        <v>-1.75483640646249E-2</v>
      </c>
      <c r="AW28" s="7">
        <v>-0.15677129490331301</v>
      </c>
      <c r="AX28" s="7">
        <v>-6.5851965170781096E-2</v>
      </c>
      <c r="AY28" s="7">
        <v>0.110620170921369</v>
      </c>
      <c r="AZ28" s="7">
        <v>-3.4794304399578799E-2</v>
      </c>
      <c r="BA28" s="4">
        <v>10</v>
      </c>
      <c r="BB28" s="4">
        <v>31</v>
      </c>
      <c r="BC28" s="4">
        <v>2</v>
      </c>
      <c r="BD28" s="4">
        <v>1</v>
      </c>
      <c r="BE28" s="2">
        <v>640</v>
      </c>
      <c r="BF28" s="3">
        <f t="shared" si="2"/>
        <v>40.881507505589269</v>
      </c>
      <c r="BG28" s="9">
        <v>15655</v>
      </c>
      <c r="BH28">
        <v>7750</v>
      </c>
      <c r="BI28">
        <v>7910</v>
      </c>
      <c r="BJ28">
        <v>2290</v>
      </c>
      <c r="BK28">
        <v>1815</v>
      </c>
      <c r="BL28">
        <v>4885</v>
      </c>
      <c r="BM28">
        <v>4120</v>
      </c>
      <c r="BN28">
        <v>2550</v>
      </c>
      <c r="BO28">
        <v>8595</v>
      </c>
      <c r="BP28">
        <v>4815</v>
      </c>
      <c r="BQ28">
        <v>1540</v>
      </c>
      <c r="BR28">
        <v>705</v>
      </c>
      <c r="BS28">
        <v>9190</v>
      </c>
      <c r="BT28">
        <v>2510</v>
      </c>
      <c r="BU28">
        <v>3950</v>
      </c>
      <c r="BV28">
        <v>9190</v>
      </c>
      <c r="BW28">
        <v>605</v>
      </c>
      <c r="BX28">
        <v>2075</v>
      </c>
      <c r="BY28">
        <v>1900</v>
      </c>
      <c r="BZ28">
        <v>1875</v>
      </c>
      <c r="CA28" s="1">
        <v>7965</v>
      </c>
      <c r="CB28" s="1">
        <v>3640</v>
      </c>
      <c r="CC28" s="1">
        <v>1940</v>
      </c>
      <c r="CD28" s="1">
        <v>2395</v>
      </c>
      <c r="CE28" s="1">
        <v>2</v>
      </c>
      <c r="CF28" s="1" t="s">
        <v>80</v>
      </c>
      <c r="CG28" s="1" t="s">
        <v>81</v>
      </c>
      <c r="CH28" s="1" t="s">
        <v>82</v>
      </c>
      <c r="CI28" s="1" t="s">
        <v>83</v>
      </c>
      <c r="CJ28" s="1" t="s">
        <v>84</v>
      </c>
      <c r="CK28" s="1" t="s">
        <v>85</v>
      </c>
      <c r="CL28" s="1" t="s">
        <v>74</v>
      </c>
      <c r="CM28" s="1" t="s">
        <v>86</v>
      </c>
      <c r="CN28" s="1" t="s">
        <v>76</v>
      </c>
      <c r="CO28" s="1" t="s">
        <v>87</v>
      </c>
      <c r="CP28" s="1" t="s">
        <v>88</v>
      </c>
      <c r="CQ28" s="1" t="s">
        <v>89</v>
      </c>
      <c r="CR28" s="1" t="s">
        <v>90</v>
      </c>
      <c r="CS28" s="1" t="s">
        <v>91</v>
      </c>
      <c r="CT28" s="1" t="s">
        <v>92</v>
      </c>
      <c r="CU28" s="1" t="s">
        <v>93</v>
      </c>
      <c r="CV28" s="1" t="s">
        <v>73</v>
      </c>
      <c r="CW28" s="1">
        <v>2035</v>
      </c>
      <c r="CX28" s="1">
        <v>50</v>
      </c>
      <c r="CY28" s="1">
        <v>560</v>
      </c>
      <c r="CZ28" s="1">
        <v>385</v>
      </c>
      <c r="DA28" s="1">
        <v>115</v>
      </c>
      <c r="DB28" s="1">
        <v>55</v>
      </c>
      <c r="DC28" s="1">
        <v>340</v>
      </c>
      <c r="DD28" s="1">
        <v>290</v>
      </c>
      <c r="DE28" s="1">
        <v>240</v>
      </c>
      <c r="DF28" s="1" t="s">
        <v>94</v>
      </c>
      <c r="DG28" s="1" t="s">
        <v>95</v>
      </c>
      <c r="DH28" s="1" t="s">
        <v>96</v>
      </c>
      <c r="DI28" s="1" t="s">
        <v>97</v>
      </c>
      <c r="DJ28" s="1" t="s">
        <v>98</v>
      </c>
      <c r="DK28" s="1" t="s">
        <v>99</v>
      </c>
      <c r="DL28">
        <v>178</v>
      </c>
      <c r="DM28">
        <v>175</v>
      </c>
      <c r="DN28">
        <v>3</v>
      </c>
      <c r="DO28" s="1">
        <v>1</v>
      </c>
      <c r="DP28" s="1">
        <v>3651</v>
      </c>
    </row>
    <row r="29" spans="1:120" x14ac:dyDescent="0.3">
      <c r="A29" s="57" t="s">
        <v>246</v>
      </c>
      <c r="B29" s="57" t="s">
        <v>247</v>
      </c>
      <c r="C29" s="57" t="s">
        <v>248</v>
      </c>
      <c r="D29" s="57" t="s">
        <v>70</v>
      </c>
      <c r="E29" s="57" t="s">
        <v>71</v>
      </c>
      <c r="F29" s="57" t="s">
        <v>246</v>
      </c>
      <c r="G29">
        <v>12610</v>
      </c>
      <c r="H29">
        <v>236</v>
      </c>
      <c r="I29">
        <v>43</v>
      </c>
      <c r="J29">
        <v>57</v>
      </c>
      <c r="K29">
        <v>85</v>
      </c>
      <c r="L29">
        <v>15</v>
      </c>
      <c r="M29">
        <v>4320</v>
      </c>
      <c r="N29">
        <v>1710</v>
      </c>
      <c r="O29">
        <v>1190</v>
      </c>
      <c r="P29">
        <v>620</v>
      </c>
      <c r="Q29">
        <v>430</v>
      </c>
      <c r="R29" s="8">
        <f t="shared" si="0"/>
        <v>3.4099920697858841</v>
      </c>
      <c r="S29">
        <v>230</v>
      </c>
      <c r="T29">
        <v>60</v>
      </c>
      <c r="U29">
        <v>3760</v>
      </c>
      <c r="V29">
        <v>4610</v>
      </c>
      <c r="W29">
        <v>1320</v>
      </c>
      <c r="X29">
        <v>9900</v>
      </c>
      <c r="Y29">
        <v>5.3</v>
      </c>
      <c r="Z29">
        <v>9.9</v>
      </c>
      <c r="AE29">
        <v>5.7</v>
      </c>
      <c r="AF29">
        <v>1160</v>
      </c>
      <c r="AG29">
        <v>395</v>
      </c>
      <c r="AH29" s="8">
        <f t="shared" si="1"/>
        <v>2.9367088607594938</v>
      </c>
      <c r="AI29" t="e">
        <f>VLOOKUP(F29,#REF!, 2, FALSE)</f>
        <v>#REF!</v>
      </c>
      <c r="AJ29" t="e">
        <f>VLOOKUP(F29,#REF!, 3, FALSE)</f>
        <v>#REF!</v>
      </c>
      <c r="AK29" s="17">
        <v>15.8</v>
      </c>
      <c r="AL29" s="15">
        <v>38.802889576883388</v>
      </c>
      <c r="AM29" s="15">
        <v>47.574819401444792</v>
      </c>
      <c r="AN29" s="15">
        <v>13.622291021671826</v>
      </c>
      <c r="AO29" s="20">
        <v>4.5</v>
      </c>
      <c r="AP29" s="20">
        <v>8207000</v>
      </c>
      <c r="AQ29" s="20">
        <v>677000</v>
      </c>
      <c r="AR29" s="20">
        <v>237</v>
      </c>
      <c r="AS29" s="20">
        <v>20.439844760672703</v>
      </c>
      <c r="AT29" s="7">
        <v>3.8025271357170598</v>
      </c>
      <c r="AU29" s="7">
        <v>-0.29973771542661798</v>
      </c>
      <c r="AV29" s="7">
        <v>-1.7899425502688599E-2</v>
      </c>
      <c r="AW29" s="7">
        <v>-0.19448134894439001</v>
      </c>
      <c r="AX29" s="7">
        <v>-5.9467831544391898E-2</v>
      </c>
      <c r="AY29" s="7">
        <v>3.8558591464294897E-2</v>
      </c>
      <c r="AZ29" s="7">
        <v>-6.6447700899442699E-2</v>
      </c>
      <c r="BA29" s="4">
        <v>12</v>
      </c>
      <c r="BB29" s="4">
        <v>29</v>
      </c>
      <c r="BC29" s="4">
        <v>2</v>
      </c>
      <c r="BD29" s="4">
        <v>2</v>
      </c>
      <c r="BE29" s="2">
        <v>405</v>
      </c>
      <c r="BF29" s="3">
        <f t="shared" si="2"/>
        <v>31.603589543503709</v>
      </c>
      <c r="BG29" s="9">
        <v>12815</v>
      </c>
      <c r="BH29">
        <v>6425</v>
      </c>
      <c r="BI29">
        <v>6390</v>
      </c>
      <c r="BJ29">
        <v>2130</v>
      </c>
      <c r="BK29">
        <v>1460</v>
      </c>
      <c r="BL29">
        <v>3840</v>
      </c>
      <c r="BM29">
        <v>3320</v>
      </c>
      <c r="BN29">
        <v>2065</v>
      </c>
      <c r="BO29">
        <v>6820</v>
      </c>
      <c r="BP29">
        <v>4300</v>
      </c>
      <c r="BQ29">
        <v>1160</v>
      </c>
      <c r="BR29">
        <v>535</v>
      </c>
      <c r="BS29">
        <v>6065</v>
      </c>
      <c r="BT29">
        <v>1965</v>
      </c>
      <c r="BU29">
        <v>4790</v>
      </c>
      <c r="BV29">
        <v>6060</v>
      </c>
      <c r="BW29">
        <v>515</v>
      </c>
      <c r="BX29">
        <v>2435</v>
      </c>
      <c r="BY29">
        <v>1450</v>
      </c>
      <c r="BZ29">
        <v>2355</v>
      </c>
      <c r="CA29" s="1">
        <v>6185</v>
      </c>
      <c r="CB29" s="1">
        <v>2705</v>
      </c>
      <c r="CC29" s="1">
        <v>1405</v>
      </c>
      <c r="CD29" s="1">
        <v>2070</v>
      </c>
      <c r="CE29" s="1">
        <v>2.1</v>
      </c>
      <c r="CF29" s="1" t="s">
        <v>249</v>
      </c>
      <c r="CG29" s="1" t="s">
        <v>250</v>
      </c>
      <c r="CH29" s="1" t="s">
        <v>251</v>
      </c>
      <c r="CI29" s="1" t="s">
        <v>252</v>
      </c>
      <c r="CJ29" s="1" t="s">
        <v>181</v>
      </c>
      <c r="CK29" s="1" t="s">
        <v>253</v>
      </c>
      <c r="CL29" s="1" t="s">
        <v>149</v>
      </c>
      <c r="CM29" s="1" t="s">
        <v>114</v>
      </c>
      <c r="CN29" s="1" t="s">
        <v>114</v>
      </c>
      <c r="CO29" s="1" t="s">
        <v>254</v>
      </c>
      <c r="CP29" s="1" t="s">
        <v>74</v>
      </c>
      <c r="CQ29" s="1" t="s">
        <v>75</v>
      </c>
      <c r="CR29" s="1" t="s">
        <v>255</v>
      </c>
      <c r="CS29" s="1" t="s">
        <v>131</v>
      </c>
      <c r="CT29" s="1" t="s">
        <v>256</v>
      </c>
      <c r="CU29" s="1" t="s">
        <v>257</v>
      </c>
      <c r="CV29" s="1" t="s">
        <v>88</v>
      </c>
      <c r="CW29" s="1">
        <v>1325</v>
      </c>
      <c r="CX29" s="1">
        <v>70</v>
      </c>
      <c r="CY29" s="1">
        <v>405</v>
      </c>
      <c r="CZ29" s="1">
        <v>160</v>
      </c>
      <c r="DA29" s="1">
        <v>105</v>
      </c>
      <c r="DB29" s="1">
        <v>20</v>
      </c>
      <c r="DC29" s="1">
        <v>230</v>
      </c>
      <c r="DD29" s="1">
        <v>255</v>
      </c>
      <c r="DE29" s="1">
        <v>80</v>
      </c>
      <c r="DF29" s="1" t="s">
        <v>258</v>
      </c>
      <c r="DG29" s="1" t="s">
        <v>259</v>
      </c>
      <c r="DH29" s="1" t="s">
        <v>260</v>
      </c>
      <c r="DI29" s="1" t="s">
        <v>97</v>
      </c>
      <c r="DJ29" s="1" t="s">
        <v>261</v>
      </c>
      <c r="DK29" s="1" t="s">
        <v>137</v>
      </c>
      <c r="DL29">
        <v>440</v>
      </c>
      <c r="DM29">
        <v>395</v>
      </c>
      <c r="DN29">
        <v>45</v>
      </c>
      <c r="DO29" s="1">
        <v>2</v>
      </c>
      <c r="DP29" s="1">
        <v>2123</v>
      </c>
    </row>
    <row r="30" spans="1:120" x14ac:dyDescent="0.3">
      <c r="A30" s="57" t="s">
        <v>218</v>
      </c>
      <c r="B30" s="57" t="s">
        <v>219</v>
      </c>
      <c r="C30" s="57" t="s">
        <v>220</v>
      </c>
      <c r="D30" s="57" t="s">
        <v>70</v>
      </c>
      <c r="E30" s="57" t="s">
        <v>71</v>
      </c>
      <c r="F30" s="57" t="s">
        <v>218</v>
      </c>
      <c r="G30">
        <v>1695</v>
      </c>
      <c r="H30">
        <v>197</v>
      </c>
      <c r="I30">
        <v>22</v>
      </c>
      <c r="J30">
        <v>78</v>
      </c>
      <c r="K30">
        <v>59</v>
      </c>
      <c r="L30">
        <v>41</v>
      </c>
      <c r="M30">
        <v>4210</v>
      </c>
      <c r="N30">
        <v>1550</v>
      </c>
      <c r="O30">
        <v>200</v>
      </c>
      <c r="P30">
        <v>120</v>
      </c>
      <c r="Q30">
        <v>50</v>
      </c>
      <c r="R30" s="8">
        <f t="shared" si="0"/>
        <v>2.9498525073746311</v>
      </c>
      <c r="S30">
        <v>50</v>
      </c>
      <c r="T30">
        <v>30</v>
      </c>
      <c r="X30">
        <v>1500</v>
      </c>
      <c r="Y30">
        <v>5.7</v>
      </c>
      <c r="Z30">
        <v>9.8000000000000007</v>
      </c>
      <c r="AA30">
        <v>0</v>
      </c>
      <c r="AB30">
        <v>10</v>
      </c>
      <c r="AC30">
        <v>0</v>
      </c>
      <c r="AD30">
        <v>20</v>
      </c>
      <c r="AE30">
        <v>3.3</v>
      </c>
      <c r="AF30">
        <v>725</v>
      </c>
      <c r="AG30">
        <v>424</v>
      </c>
      <c r="AH30" s="8">
        <f t="shared" si="1"/>
        <v>1.7099056603773586</v>
      </c>
      <c r="AI30" t="e">
        <f>VLOOKUP(F30,#REF!, 2, FALSE)</f>
        <v>#REF!</v>
      </c>
      <c r="AJ30" t="e">
        <f>VLOOKUP(F30,#REF!, 3, FALSE)</f>
        <v>#REF!</v>
      </c>
      <c r="AK30" s="17">
        <v>1.6</v>
      </c>
      <c r="AL30" s="15"/>
      <c r="AM30" s="15"/>
      <c r="AN30" s="15"/>
      <c r="AO30" s="20">
        <v>0.8</v>
      </c>
      <c r="AP30" s="20">
        <v>44340000</v>
      </c>
      <c r="AQ30" s="20">
        <v>4339000</v>
      </c>
      <c r="AR30" s="20">
        <v>227</v>
      </c>
      <c r="AS30" s="20">
        <v>27.586206896551722</v>
      </c>
      <c r="AT30" s="7">
        <v>4.1268031787533497</v>
      </c>
      <c r="AU30" s="7">
        <v>2.45383276096705E-2</v>
      </c>
      <c r="AV30" s="7">
        <v>-1.8239308382227998E-2</v>
      </c>
      <c r="AW30" s="7">
        <v>-3.2155550379127103E-2</v>
      </c>
      <c r="AX30" s="7">
        <v>4.81010443251973E-3</v>
      </c>
      <c r="AY30" s="7">
        <v>7.3372325914658906E-2</v>
      </c>
      <c r="AZ30" s="7">
        <v>-3.2492439761532001E-3</v>
      </c>
      <c r="BB30" s="4">
        <v>17</v>
      </c>
      <c r="BE30" s="2">
        <v>81</v>
      </c>
      <c r="BF30" s="3">
        <f t="shared" si="2"/>
        <v>30.68181818181818</v>
      </c>
      <c r="BG30" s="9">
        <v>2640</v>
      </c>
      <c r="BH30">
        <v>1205</v>
      </c>
      <c r="BI30">
        <v>1440</v>
      </c>
      <c r="BJ30">
        <v>440</v>
      </c>
      <c r="BK30">
        <v>355</v>
      </c>
      <c r="BL30">
        <v>840</v>
      </c>
      <c r="BM30">
        <v>400</v>
      </c>
      <c r="BN30">
        <v>615</v>
      </c>
      <c r="BO30">
        <v>1520</v>
      </c>
      <c r="BP30">
        <v>755</v>
      </c>
      <c r="BQ30">
        <v>190</v>
      </c>
      <c r="BR30">
        <v>180</v>
      </c>
      <c r="BS30">
        <v>1110</v>
      </c>
      <c r="BT30">
        <v>1120</v>
      </c>
      <c r="BU30">
        <v>415</v>
      </c>
      <c r="BV30">
        <v>1105</v>
      </c>
      <c r="BW30">
        <v>80</v>
      </c>
      <c r="BX30">
        <v>215</v>
      </c>
      <c r="BY30">
        <v>1035</v>
      </c>
      <c r="BZ30">
        <v>200</v>
      </c>
      <c r="CA30" s="1">
        <v>1480</v>
      </c>
      <c r="CB30" s="1">
        <v>815</v>
      </c>
      <c r="CC30" s="1">
        <v>305</v>
      </c>
      <c r="CD30" s="1">
        <v>360</v>
      </c>
      <c r="CE30" s="1">
        <v>1.8</v>
      </c>
      <c r="CF30" s="1" t="s">
        <v>221</v>
      </c>
      <c r="CG30" s="1" t="s">
        <v>222</v>
      </c>
      <c r="CH30" s="1" t="s">
        <v>223</v>
      </c>
      <c r="CI30" s="1" t="s">
        <v>224</v>
      </c>
      <c r="CJ30" s="1" t="s">
        <v>128</v>
      </c>
      <c r="CK30" s="1" t="s">
        <v>149</v>
      </c>
      <c r="CL30" s="1" t="s">
        <v>86</v>
      </c>
      <c r="CM30" s="1" t="s">
        <v>76</v>
      </c>
      <c r="CN30" s="1" t="s">
        <v>108</v>
      </c>
      <c r="CO30" s="1" t="s">
        <v>153</v>
      </c>
      <c r="CP30" s="1" t="s">
        <v>172</v>
      </c>
      <c r="CQ30" s="1" t="s">
        <v>92</v>
      </c>
      <c r="CR30" s="1" t="s">
        <v>225</v>
      </c>
      <c r="CS30" s="1" t="s">
        <v>215</v>
      </c>
      <c r="CT30" s="1" t="s">
        <v>130</v>
      </c>
      <c r="CU30" s="1" t="s">
        <v>226</v>
      </c>
      <c r="CV30" s="1" t="s">
        <v>227</v>
      </c>
      <c r="CW30" s="1">
        <v>820</v>
      </c>
      <c r="CX30" s="1">
        <v>5</v>
      </c>
      <c r="CY30" s="1">
        <v>225</v>
      </c>
      <c r="CZ30" s="1">
        <v>250</v>
      </c>
      <c r="DA30" s="1">
        <v>70</v>
      </c>
      <c r="DB30" s="1">
        <v>40</v>
      </c>
      <c r="DC30" s="1">
        <v>150</v>
      </c>
      <c r="DD30" s="1">
        <v>40</v>
      </c>
      <c r="DE30" s="1">
        <v>45</v>
      </c>
      <c r="DF30" s="1" t="s">
        <v>228</v>
      </c>
      <c r="DG30" s="1" t="s">
        <v>229</v>
      </c>
      <c r="DH30" s="1" t="s">
        <v>230</v>
      </c>
      <c r="DI30" s="1" t="s">
        <v>135</v>
      </c>
      <c r="DJ30" s="1" t="s">
        <v>231</v>
      </c>
      <c r="DK30" s="1" t="s">
        <v>232</v>
      </c>
      <c r="DL30">
        <v>581</v>
      </c>
      <c r="DM30">
        <v>424</v>
      </c>
      <c r="DN30">
        <v>157</v>
      </c>
      <c r="DO30" s="1">
        <v>2</v>
      </c>
      <c r="DP30" s="1">
        <v>1915</v>
      </c>
    </row>
    <row r="31" spans="1:120" x14ac:dyDescent="0.3">
      <c r="A31" s="57" t="s">
        <v>173</v>
      </c>
      <c r="B31" s="57" t="s">
        <v>174</v>
      </c>
      <c r="C31" s="57" t="s">
        <v>175</v>
      </c>
      <c r="D31" s="57" t="s">
        <v>70</v>
      </c>
      <c r="E31" s="57" t="s">
        <v>71</v>
      </c>
      <c r="F31" s="57" t="s">
        <v>173</v>
      </c>
      <c r="G31">
        <v>7390</v>
      </c>
      <c r="H31">
        <v>294</v>
      </c>
      <c r="I31">
        <v>59</v>
      </c>
      <c r="J31">
        <v>41</v>
      </c>
      <c r="K31">
        <v>89</v>
      </c>
      <c r="L31">
        <v>11</v>
      </c>
      <c r="M31">
        <v>4120</v>
      </c>
      <c r="N31">
        <v>1650</v>
      </c>
      <c r="O31">
        <v>580</v>
      </c>
      <c r="P31">
        <v>360</v>
      </c>
      <c r="Q31">
        <v>220</v>
      </c>
      <c r="R31" s="8">
        <f t="shared" si="0"/>
        <v>2.9769959404600814</v>
      </c>
      <c r="S31">
        <v>190</v>
      </c>
      <c r="T31">
        <v>60</v>
      </c>
      <c r="U31">
        <v>1590</v>
      </c>
      <c r="V31">
        <v>2530</v>
      </c>
      <c r="W31">
        <v>1790</v>
      </c>
      <c r="X31">
        <v>5800</v>
      </c>
      <c r="Y31">
        <v>3.5</v>
      </c>
      <c r="Z31">
        <v>6.7</v>
      </c>
      <c r="AA31">
        <v>30</v>
      </c>
      <c r="AB31">
        <v>30</v>
      </c>
      <c r="AC31">
        <v>10</v>
      </c>
      <c r="AD31">
        <v>530</v>
      </c>
      <c r="AE31">
        <v>7.5</v>
      </c>
      <c r="AF31">
        <v>1050</v>
      </c>
      <c r="AG31">
        <v>182</v>
      </c>
      <c r="AH31" s="8">
        <f t="shared" si="1"/>
        <v>5.7692307692307692</v>
      </c>
      <c r="AI31" t="e">
        <f>VLOOKUP(F31,#REF!, 2, FALSE)</f>
        <v>#REF!</v>
      </c>
      <c r="AJ31" t="e">
        <f>VLOOKUP(F31,#REF!, 3, FALSE)</f>
        <v>#REF!</v>
      </c>
      <c r="AK31" s="17">
        <v>11</v>
      </c>
      <c r="AL31" s="15">
        <v>26.903553299492383</v>
      </c>
      <c r="AM31" s="15">
        <v>42.808798646362099</v>
      </c>
      <c r="AN31" s="15">
        <v>30.287648054145517</v>
      </c>
      <c r="AO31" s="20">
        <v>3.1</v>
      </c>
      <c r="AP31" s="20">
        <v>25644000</v>
      </c>
      <c r="AQ31" s="20">
        <v>7370000</v>
      </c>
      <c r="AR31" s="20">
        <v>277</v>
      </c>
      <c r="AS31" s="20">
        <v>22.883295194508012</v>
      </c>
      <c r="AT31" s="7">
        <v>4.0927926623102797</v>
      </c>
      <c r="AU31" s="7">
        <v>-9.4721888334048394E-3</v>
      </c>
      <c r="AV31" s="7">
        <v>-1.93850837728805E-2</v>
      </c>
      <c r="AW31" s="7">
        <v>-0.123519844305197</v>
      </c>
      <c r="AX31" s="7">
        <v>-3.5347714097350103E-2</v>
      </c>
      <c r="AY31" s="7">
        <v>0.130309180731501</v>
      </c>
      <c r="AZ31" s="7">
        <v>3.8471272610522002E-2</v>
      </c>
      <c r="BA31" s="4">
        <v>7</v>
      </c>
      <c r="BB31" s="4">
        <v>22</v>
      </c>
      <c r="BC31" s="4">
        <v>3</v>
      </c>
      <c r="BD31" s="4">
        <v>1</v>
      </c>
      <c r="BE31" s="2">
        <v>220</v>
      </c>
      <c r="BF31" s="3">
        <f t="shared" si="2"/>
        <v>29.081295439524126</v>
      </c>
      <c r="BG31" s="9">
        <v>7565</v>
      </c>
      <c r="BH31">
        <v>3830</v>
      </c>
      <c r="BI31">
        <v>3740</v>
      </c>
      <c r="BJ31">
        <v>1185</v>
      </c>
      <c r="BK31">
        <v>855</v>
      </c>
      <c r="BL31">
        <v>2235</v>
      </c>
      <c r="BM31">
        <v>2160</v>
      </c>
      <c r="BN31">
        <v>1130</v>
      </c>
      <c r="BO31">
        <v>4130</v>
      </c>
      <c r="BP31">
        <v>2535</v>
      </c>
      <c r="BQ31">
        <v>650</v>
      </c>
      <c r="BR31">
        <v>245</v>
      </c>
      <c r="BS31">
        <v>5130</v>
      </c>
      <c r="BT31">
        <v>750</v>
      </c>
      <c r="BU31">
        <v>1685</v>
      </c>
      <c r="BV31">
        <v>5130</v>
      </c>
      <c r="BW31">
        <v>245</v>
      </c>
      <c r="BX31">
        <v>875</v>
      </c>
      <c r="BY31">
        <v>505</v>
      </c>
      <c r="BZ31">
        <v>815</v>
      </c>
      <c r="CA31" s="1">
        <v>3545</v>
      </c>
      <c r="CB31" s="1">
        <v>1480</v>
      </c>
      <c r="CC31" s="1">
        <v>915</v>
      </c>
      <c r="CD31" s="1">
        <v>1155</v>
      </c>
      <c r="CE31" s="1">
        <v>2.1</v>
      </c>
      <c r="CF31" s="1" t="s">
        <v>176</v>
      </c>
      <c r="CG31" s="1" t="s">
        <v>177</v>
      </c>
      <c r="CH31" s="1" t="s">
        <v>178</v>
      </c>
      <c r="CI31" s="1" t="s">
        <v>179</v>
      </c>
      <c r="CJ31" s="1" t="s">
        <v>180</v>
      </c>
      <c r="CK31" s="1" t="s">
        <v>181</v>
      </c>
      <c r="CL31" s="1" t="s">
        <v>172</v>
      </c>
      <c r="CM31" s="1" t="s">
        <v>88</v>
      </c>
      <c r="CN31" s="1" t="s">
        <v>86</v>
      </c>
      <c r="CO31" s="1" t="s">
        <v>182</v>
      </c>
      <c r="CP31" s="1" t="s">
        <v>88</v>
      </c>
      <c r="CQ31" s="1" t="s">
        <v>183</v>
      </c>
      <c r="CR31" s="1" t="s">
        <v>184</v>
      </c>
      <c r="CS31" s="1" t="s">
        <v>185</v>
      </c>
      <c r="CT31" s="1" t="s">
        <v>152</v>
      </c>
      <c r="CU31" s="1" t="s">
        <v>186</v>
      </c>
      <c r="CV31" s="1" t="s">
        <v>149</v>
      </c>
      <c r="CW31" s="1">
        <v>1125</v>
      </c>
      <c r="CX31" s="1">
        <v>10</v>
      </c>
      <c r="CY31" s="1">
        <v>220</v>
      </c>
      <c r="CZ31" s="1">
        <v>135</v>
      </c>
      <c r="DA31" s="1">
        <v>75</v>
      </c>
      <c r="DB31" s="1">
        <v>55</v>
      </c>
      <c r="DC31" s="1">
        <v>275</v>
      </c>
      <c r="DD31" s="1">
        <v>240</v>
      </c>
      <c r="DE31" s="1">
        <v>115</v>
      </c>
      <c r="DF31" s="1" t="s">
        <v>187</v>
      </c>
      <c r="DG31" s="1" t="s">
        <v>188</v>
      </c>
      <c r="DH31" s="1" t="s">
        <v>189</v>
      </c>
      <c r="DI31" s="1" t="s">
        <v>135</v>
      </c>
      <c r="DJ31" s="1" t="s">
        <v>190</v>
      </c>
      <c r="DK31" s="1" t="s">
        <v>144</v>
      </c>
      <c r="DL31">
        <v>247</v>
      </c>
      <c r="DM31">
        <v>182</v>
      </c>
      <c r="DN31">
        <v>64</v>
      </c>
      <c r="DO31" s="1">
        <v>1</v>
      </c>
      <c r="DP31" s="1">
        <v>3245</v>
      </c>
    </row>
    <row r="32" spans="1:120" x14ac:dyDescent="0.3">
      <c r="A32" s="57" t="s">
        <v>233</v>
      </c>
      <c r="B32" s="57" t="s">
        <v>234</v>
      </c>
      <c r="C32" s="57" t="s">
        <v>235</v>
      </c>
      <c r="D32" s="57" t="s">
        <v>70</v>
      </c>
      <c r="E32" s="57" t="s">
        <v>71</v>
      </c>
      <c r="F32" s="57" t="s">
        <v>233</v>
      </c>
      <c r="G32">
        <v>12790</v>
      </c>
      <c r="H32">
        <v>316</v>
      </c>
      <c r="I32">
        <v>59</v>
      </c>
      <c r="J32">
        <v>41</v>
      </c>
      <c r="K32">
        <v>81</v>
      </c>
      <c r="L32">
        <v>19</v>
      </c>
      <c r="M32">
        <v>4130</v>
      </c>
      <c r="N32">
        <v>1520</v>
      </c>
      <c r="O32">
        <v>1340</v>
      </c>
      <c r="P32">
        <v>760</v>
      </c>
      <c r="Q32">
        <v>330</v>
      </c>
      <c r="R32" s="8">
        <f t="shared" si="0"/>
        <v>2.5801407349491789</v>
      </c>
      <c r="S32">
        <v>280</v>
      </c>
      <c r="T32">
        <v>110</v>
      </c>
      <c r="U32">
        <v>2720</v>
      </c>
      <c r="V32">
        <v>3920</v>
      </c>
      <c r="W32">
        <v>2720</v>
      </c>
      <c r="X32">
        <v>9900</v>
      </c>
      <c r="Y32">
        <v>3.8</v>
      </c>
      <c r="Z32">
        <v>6.7</v>
      </c>
      <c r="AA32">
        <v>0</v>
      </c>
      <c r="AB32">
        <v>10</v>
      </c>
      <c r="AC32">
        <v>0</v>
      </c>
      <c r="AD32">
        <v>0</v>
      </c>
      <c r="AE32">
        <v>6.2</v>
      </c>
      <c r="AF32">
        <v>1180</v>
      </c>
      <c r="AG32">
        <v>182</v>
      </c>
      <c r="AH32" s="8">
        <f t="shared" si="1"/>
        <v>6.4835164835164836</v>
      </c>
      <c r="AI32" t="e">
        <f>VLOOKUP(F32,#REF!, 2, FALSE)</f>
        <v>#REF!</v>
      </c>
      <c r="AJ32" t="e">
        <f>VLOOKUP(F32,#REF!, 3, FALSE)</f>
        <v>#REF!</v>
      </c>
      <c r="AK32" s="17">
        <v>8.5</v>
      </c>
      <c r="AL32" s="15">
        <v>29.059829059829063</v>
      </c>
      <c r="AM32" s="15">
        <v>41.880341880341881</v>
      </c>
      <c r="AN32" s="15">
        <v>29.059829059829063</v>
      </c>
      <c r="AO32" s="20">
        <v>4.5</v>
      </c>
      <c r="AP32" s="20">
        <v>4293000</v>
      </c>
      <c r="AQ32" s="20">
        <v>555000</v>
      </c>
      <c r="AR32" s="20">
        <v>267</v>
      </c>
      <c r="AS32" s="20">
        <v>22.085889570552148</v>
      </c>
      <c r="AT32" s="7">
        <v>4.1205155879370796</v>
      </c>
      <c r="AU32" s="7">
        <v>1.8250736793396699E-2</v>
      </c>
      <c r="AV32" s="7">
        <v>-1.7413830565387499E-2</v>
      </c>
      <c r="AW32" s="7">
        <v>-2.7555542515076501E-2</v>
      </c>
      <c r="AX32" s="7">
        <v>-2.4926689803990699E-2</v>
      </c>
      <c r="AY32" s="7">
        <v>0.11331385010097</v>
      </c>
      <c r="AZ32" s="7">
        <v>-2.51670504231194E-2</v>
      </c>
      <c r="BA32" s="4">
        <v>6</v>
      </c>
      <c r="BB32" s="4">
        <v>21</v>
      </c>
      <c r="BC32" s="4">
        <v>1</v>
      </c>
      <c r="BD32" s="4">
        <v>2</v>
      </c>
      <c r="BE32" s="2">
        <v>210</v>
      </c>
      <c r="BF32" s="3">
        <f t="shared" si="2"/>
        <v>16.483516483516485</v>
      </c>
      <c r="BG32" s="9">
        <v>12740</v>
      </c>
      <c r="BH32">
        <v>6195</v>
      </c>
      <c r="BI32">
        <v>6545</v>
      </c>
      <c r="BJ32">
        <v>2390</v>
      </c>
      <c r="BK32">
        <v>1360</v>
      </c>
      <c r="BL32">
        <v>3300</v>
      </c>
      <c r="BM32">
        <v>3365</v>
      </c>
      <c r="BN32">
        <v>2320</v>
      </c>
      <c r="BO32">
        <v>6170</v>
      </c>
      <c r="BP32">
        <v>5090</v>
      </c>
      <c r="BQ32">
        <v>910</v>
      </c>
      <c r="BR32">
        <v>560</v>
      </c>
      <c r="BS32">
        <v>8435</v>
      </c>
      <c r="BT32">
        <v>1085</v>
      </c>
      <c r="BU32">
        <v>3220</v>
      </c>
      <c r="BV32">
        <v>8435</v>
      </c>
      <c r="BW32">
        <v>375</v>
      </c>
      <c r="BX32">
        <v>1660</v>
      </c>
      <c r="BY32">
        <v>710</v>
      </c>
      <c r="BZ32">
        <v>1560</v>
      </c>
      <c r="CA32" s="1">
        <v>5520</v>
      </c>
      <c r="CB32" s="1">
        <v>1795</v>
      </c>
      <c r="CC32" s="1">
        <v>1515</v>
      </c>
      <c r="CD32" s="1">
        <v>2210</v>
      </c>
      <c r="CE32" s="1">
        <v>2.2999999999999998</v>
      </c>
      <c r="CF32" s="1" t="s">
        <v>236</v>
      </c>
      <c r="CG32" s="1" t="s">
        <v>237</v>
      </c>
      <c r="CH32" s="1" t="s">
        <v>238</v>
      </c>
      <c r="CI32" s="1" t="s">
        <v>239</v>
      </c>
      <c r="CJ32" s="1" t="s">
        <v>227</v>
      </c>
      <c r="CK32" s="1" t="s">
        <v>240</v>
      </c>
      <c r="CL32" s="1" t="s">
        <v>128</v>
      </c>
      <c r="CM32" s="1" t="s">
        <v>73</v>
      </c>
      <c r="CN32" s="1" t="s">
        <v>114</v>
      </c>
      <c r="CO32" s="1" t="s">
        <v>226</v>
      </c>
      <c r="CP32" s="1" t="s">
        <v>86</v>
      </c>
      <c r="CQ32" s="1" t="s">
        <v>183</v>
      </c>
      <c r="CR32" s="1" t="s">
        <v>184</v>
      </c>
      <c r="CS32" s="1" t="s">
        <v>241</v>
      </c>
      <c r="CT32" s="1" t="s">
        <v>149</v>
      </c>
      <c r="CU32" s="1" t="s">
        <v>109</v>
      </c>
      <c r="CV32" s="1" t="s">
        <v>74</v>
      </c>
      <c r="CW32" s="1">
        <v>1280</v>
      </c>
      <c r="CX32" s="1">
        <v>20</v>
      </c>
      <c r="CY32" s="1">
        <v>260</v>
      </c>
      <c r="CZ32" s="1">
        <v>160</v>
      </c>
      <c r="DA32" s="1">
        <v>100</v>
      </c>
      <c r="DB32" s="1">
        <v>35</v>
      </c>
      <c r="DC32" s="1">
        <v>325</v>
      </c>
      <c r="DD32" s="1">
        <v>265</v>
      </c>
      <c r="DE32" s="1">
        <v>115</v>
      </c>
      <c r="DF32" s="1" t="s">
        <v>242</v>
      </c>
      <c r="DG32" s="1" t="s">
        <v>243</v>
      </c>
      <c r="DH32" s="1" t="s">
        <v>244</v>
      </c>
      <c r="DI32" s="1" t="s">
        <v>135</v>
      </c>
      <c r="DJ32" s="1" t="s">
        <v>245</v>
      </c>
      <c r="DK32" s="1" t="s">
        <v>168</v>
      </c>
      <c r="DL32">
        <v>187</v>
      </c>
      <c r="DM32">
        <v>182</v>
      </c>
      <c r="DN32">
        <v>5</v>
      </c>
      <c r="DO32" s="1">
        <v>1</v>
      </c>
      <c r="DP32" s="1">
        <v>2649</v>
      </c>
    </row>
    <row r="33" spans="1:120" x14ac:dyDescent="0.3">
      <c r="A33" s="57" t="s">
        <v>138</v>
      </c>
      <c r="B33" s="57" t="s">
        <v>139</v>
      </c>
      <c r="C33" s="57" t="s">
        <v>140</v>
      </c>
      <c r="D33" s="57" t="s">
        <v>70</v>
      </c>
      <c r="E33" s="57" t="s">
        <v>71</v>
      </c>
      <c r="F33" s="57" t="s">
        <v>138</v>
      </c>
      <c r="G33">
        <v>11740</v>
      </c>
      <c r="H33">
        <v>291</v>
      </c>
      <c r="I33">
        <v>34</v>
      </c>
      <c r="J33">
        <v>66</v>
      </c>
      <c r="K33">
        <v>83</v>
      </c>
      <c r="L33">
        <v>17</v>
      </c>
      <c r="M33">
        <v>5310</v>
      </c>
      <c r="N33">
        <v>1970</v>
      </c>
      <c r="O33">
        <v>1080</v>
      </c>
      <c r="P33">
        <v>540</v>
      </c>
      <c r="Q33">
        <v>280</v>
      </c>
      <c r="R33" s="8">
        <f t="shared" si="0"/>
        <v>2.385008517887564</v>
      </c>
      <c r="S33">
        <v>190</v>
      </c>
      <c r="T33">
        <v>80</v>
      </c>
      <c r="U33">
        <v>2570</v>
      </c>
      <c r="V33">
        <v>3300</v>
      </c>
      <c r="W33">
        <v>1650</v>
      </c>
      <c r="X33">
        <v>9000</v>
      </c>
      <c r="Y33">
        <v>4.0999999999999996</v>
      </c>
      <c r="Z33">
        <v>8.6999999999999993</v>
      </c>
      <c r="AE33">
        <v>6.2</v>
      </c>
      <c r="AF33">
        <v>880</v>
      </c>
      <c r="AG33">
        <v>189</v>
      </c>
      <c r="AH33" s="8">
        <f t="shared" si="1"/>
        <v>4.6560846560846558</v>
      </c>
      <c r="AI33" t="e">
        <f>VLOOKUP(F33,#REF!, 2, FALSE)</f>
        <v>#REF!</v>
      </c>
      <c r="AJ33" t="e">
        <f>VLOOKUP(F33,#REF!, 3, FALSE)</f>
        <v>#REF!</v>
      </c>
      <c r="AK33" s="17">
        <v>15.1</v>
      </c>
      <c r="AL33" s="15">
        <v>34.175531914893611</v>
      </c>
      <c r="AM33" s="15">
        <v>43.88297872340425</v>
      </c>
      <c r="AN33" s="15">
        <v>21.941489361702125</v>
      </c>
      <c r="AO33" s="20">
        <v>4.3</v>
      </c>
      <c r="AP33" s="20">
        <v>9803000</v>
      </c>
      <c r="AQ33" s="20">
        <v>1172000</v>
      </c>
      <c r="AR33" s="20">
        <v>238</v>
      </c>
      <c r="AS33" s="20">
        <v>16.809815950920246</v>
      </c>
      <c r="AT33" s="7">
        <v>4.0337468393542997</v>
      </c>
      <c r="AU33" s="7">
        <v>-6.8518011789375596E-2</v>
      </c>
      <c r="AV33" s="7">
        <v>-1.2035389291196999E-2</v>
      </c>
      <c r="AW33" s="7">
        <v>-5.7247289756581603E-2</v>
      </c>
      <c r="AX33" s="7">
        <v>-3.8109565101451602E-2</v>
      </c>
      <c r="AY33" s="7">
        <v>7.3650850105315205E-2</v>
      </c>
      <c r="AZ33" s="7">
        <v>-3.4776617745460703E-2</v>
      </c>
      <c r="BA33" s="4">
        <v>12</v>
      </c>
      <c r="BB33" s="4">
        <v>24</v>
      </c>
      <c r="BC33" s="4">
        <v>2</v>
      </c>
      <c r="BD33" s="4">
        <v>1</v>
      </c>
      <c r="BE33" s="2">
        <v>226</v>
      </c>
      <c r="BF33" s="3">
        <f t="shared" si="2"/>
        <v>19.307988039299445</v>
      </c>
      <c r="BG33" s="9">
        <v>11705</v>
      </c>
      <c r="BH33">
        <v>5385</v>
      </c>
      <c r="BI33">
        <v>6325</v>
      </c>
      <c r="BJ33">
        <v>1950</v>
      </c>
      <c r="BK33">
        <v>1040</v>
      </c>
      <c r="BL33">
        <v>2705</v>
      </c>
      <c r="BM33">
        <v>2465</v>
      </c>
      <c r="BN33">
        <v>3540</v>
      </c>
      <c r="BO33">
        <v>5045</v>
      </c>
      <c r="BP33">
        <v>4425</v>
      </c>
      <c r="BQ33">
        <v>1085</v>
      </c>
      <c r="BR33">
        <v>1150</v>
      </c>
      <c r="BS33">
        <v>7890</v>
      </c>
      <c r="BT33">
        <v>770</v>
      </c>
      <c r="BU33">
        <v>3045</v>
      </c>
      <c r="BV33">
        <v>7890</v>
      </c>
      <c r="BW33">
        <v>385</v>
      </c>
      <c r="BX33">
        <v>1585</v>
      </c>
      <c r="BY33">
        <v>380</v>
      </c>
      <c r="BZ33">
        <v>1460</v>
      </c>
      <c r="CA33" s="1">
        <v>5395</v>
      </c>
      <c r="CB33" s="1">
        <v>2295</v>
      </c>
      <c r="CC33" s="1">
        <v>1405</v>
      </c>
      <c r="CD33" s="1">
        <v>1700</v>
      </c>
      <c r="CE33" s="1">
        <v>2.1</v>
      </c>
      <c r="CF33" s="1" t="s">
        <v>141</v>
      </c>
      <c r="CG33" s="1" t="s">
        <v>142</v>
      </c>
      <c r="CH33" s="1" t="s">
        <v>143</v>
      </c>
      <c r="CI33" s="1" t="s">
        <v>144</v>
      </c>
      <c r="CJ33" s="1" t="s">
        <v>145</v>
      </c>
      <c r="CK33" s="1" t="s">
        <v>146</v>
      </c>
      <c r="CL33" s="1" t="s">
        <v>147</v>
      </c>
      <c r="CM33" s="1" t="s">
        <v>114</v>
      </c>
      <c r="CN33" s="1" t="s">
        <v>114</v>
      </c>
      <c r="CO33" s="1" t="s">
        <v>148</v>
      </c>
      <c r="CP33" s="1" t="s">
        <v>149</v>
      </c>
      <c r="CQ33" s="1" t="s">
        <v>91</v>
      </c>
      <c r="CR33" s="1" t="s">
        <v>150</v>
      </c>
      <c r="CS33" s="1" t="s">
        <v>151</v>
      </c>
      <c r="CT33" s="1" t="s">
        <v>152</v>
      </c>
      <c r="CU33" s="1" t="s">
        <v>153</v>
      </c>
      <c r="CV33" s="1" t="s">
        <v>128</v>
      </c>
      <c r="CW33" s="1">
        <v>955</v>
      </c>
      <c r="CX33" s="1">
        <v>5</v>
      </c>
      <c r="CY33" s="1">
        <v>145</v>
      </c>
      <c r="CZ33" s="1">
        <v>160</v>
      </c>
      <c r="DA33" s="1">
        <v>75</v>
      </c>
      <c r="DB33" s="1">
        <v>40</v>
      </c>
      <c r="DC33" s="1">
        <v>210</v>
      </c>
      <c r="DD33" s="1">
        <v>220</v>
      </c>
      <c r="DE33" s="1">
        <v>100</v>
      </c>
      <c r="DF33" s="1" t="s">
        <v>154</v>
      </c>
      <c r="DG33" s="1" t="s">
        <v>155</v>
      </c>
      <c r="DH33" s="1" t="s">
        <v>156</v>
      </c>
      <c r="DI33" s="1" t="s">
        <v>157</v>
      </c>
      <c r="DJ33" s="1" t="s">
        <v>158</v>
      </c>
      <c r="DK33" s="1" t="s">
        <v>159</v>
      </c>
      <c r="DL33">
        <v>192</v>
      </c>
      <c r="DM33">
        <v>189</v>
      </c>
      <c r="DN33">
        <v>3</v>
      </c>
      <c r="DO33" s="1">
        <v>1</v>
      </c>
      <c r="DP33" s="1">
        <v>3128</v>
      </c>
    </row>
    <row r="34" spans="1:120" x14ac:dyDescent="0.3">
      <c r="A34" s="57" t="s">
        <v>121</v>
      </c>
      <c r="B34" s="57" t="s">
        <v>122</v>
      </c>
      <c r="C34" s="57" t="s">
        <v>123</v>
      </c>
      <c r="D34" s="57" t="s">
        <v>70</v>
      </c>
      <c r="E34" s="57" t="s">
        <v>71</v>
      </c>
      <c r="F34" s="57" t="s">
        <v>121</v>
      </c>
      <c r="G34">
        <v>13275</v>
      </c>
      <c r="H34">
        <v>319</v>
      </c>
      <c r="I34">
        <v>49</v>
      </c>
      <c r="J34">
        <v>51</v>
      </c>
      <c r="K34">
        <v>97</v>
      </c>
      <c r="L34">
        <v>3</v>
      </c>
      <c r="M34">
        <v>5000</v>
      </c>
      <c r="N34">
        <v>1280</v>
      </c>
      <c r="O34">
        <v>1160</v>
      </c>
      <c r="P34">
        <v>720</v>
      </c>
      <c r="Q34">
        <v>340</v>
      </c>
      <c r="R34" s="8">
        <f t="shared" si="0"/>
        <v>2.5612052730696799</v>
      </c>
      <c r="S34">
        <v>280</v>
      </c>
      <c r="T34">
        <v>100</v>
      </c>
      <c r="U34">
        <v>2580</v>
      </c>
      <c r="V34">
        <v>4210</v>
      </c>
      <c r="W34">
        <v>2620</v>
      </c>
      <c r="X34">
        <v>10800</v>
      </c>
      <c r="Y34">
        <v>3</v>
      </c>
      <c r="Z34">
        <v>6.1</v>
      </c>
      <c r="AA34">
        <v>130</v>
      </c>
      <c r="AB34">
        <v>150</v>
      </c>
      <c r="AC34">
        <v>30</v>
      </c>
      <c r="AD34">
        <v>540</v>
      </c>
      <c r="AE34">
        <v>5.8</v>
      </c>
      <c r="AF34">
        <v>990</v>
      </c>
      <c r="AG34">
        <v>333</v>
      </c>
      <c r="AH34" s="8">
        <f t="shared" si="1"/>
        <v>2.9729729729729728</v>
      </c>
      <c r="AI34" t="e">
        <f>VLOOKUP(F34,#REF!, 2, FALSE)</f>
        <v>#REF!</v>
      </c>
      <c r="AJ34" t="e">
        <f>VLOOKUP(F34,#REF!, 3, FALSE)</f>
        <v>#REF!</v>
      </c>
      <c r="AK34" s="17">
        <v>10.100000000000001</v>
      </c>
      <c r="AL34" s="15">
        <v>27.417640807651434</v>
      </c>
      <c r="AM34" s="15">
        <v>44.739638682252924</v>
      </c>
      <c r="AN34" s="15">
        <v>27.842720510095642</v>
      </c>
      <c r="AO34" s="20">
        <v>4.7</v>
      </c>
      <c r="AP34" s="20">
        <v>3559000</v>
      </c>
      <c r="AQ34" s="20">
        <v>387000</v>
      </c>
      <c r="AR34" s="20">
        <v>254</v>
      </c>
      <c r="AS34" s="20">
        <v>0.36188178528347409</v>
      </c>
      <c r="AT34" s="7">
        <v>4.0115804484309399</v>
      </c>
      <c r="AU34" s="7">
        <v>-9.0684402712744999E-2</v>
      </c>
      <c r="AV34" s="7">
        <v>-4.4176102703461497E-3</v>
      </c>
      <c r="AW34" s="7">
        <v>-3.3775079056689E-2</v>
      </c>
      <c r="AX34" s="7">
        <v>-3.0917806857236201E-2</v>
      </c>
      <c r="AY34" s="7">
        <v>-2.0886383248925201E-2</v>
      </c>
      <c r="AZ34" s="7">
        <v>-6.8752327954866503E-4</v>
      </c>
      <c r="BA34" s="4">
        <v>8</v>
      </c>
      <c r="BB34" s="4">
        <v>23</v>
      </c>
      <c r="BC34" s="4">
        <v>1</v>
      </c>
      <c r="BD34" s="4">
        <v>1</v>
      </c>
      <c r="BE34" s="2">
        <v>236</v>
      </c>
      <c r="BF34" s="3">
        <f t="shared" si="2"/>
        <v>17.784476262245665</v>
      </c>
      <c r="BG34" s="9">
        <v>13270</v>
      </c>
      <c r="BH34">
        <v>6360</v>
      </c>
      <c r="BI34">
        <v>6910</v>
      </c>
      <c r="BJ34">
        <v>2085</v>
      </c>
      <c r="BK34">
        <v>1335</v>
      </c>
      <c r="BL34">
        <v>2745</v>
      </c>
      <c r="BM34">
        <v>3415</v>
      </c>
      <c r="BN34">
        <v>3690</v>
      </c>
      <c r="BO34">
        <v>5545</v>
      </c>
      <c r="BP34">
        <v>5640</v>
      </c>
      <c r="BQ34">
        <v>1245</v>
      </c>
      <c r="BR34">
        <v>845</v>
      </c>
      <c r="BS34">
        <v>9835</v>
      </c>
      <c r="BT34">
        <v>840</v>
      </c>
      <c r="BU34">
        <v>2595</v>
      </c>
      <c r="BV34">
        <v>9835</v>
      </c>
      <c r="BW34">
        <v>415</v>
      </c>
      <c r="BX34">
        <v>1430</v>
      </c>
      <c r="BY34">
        <v>420</v>
      </c>
      <c r="BZ34">
        <v>1170</v>
      </c>
      <c r="CA34" s="1">
        <v>6100</v>
      </c>
      <c r="CB34" s="1">
        <v>2140</v>
      </c>
      <c r="CC34" s="1">
        <v>1860</v>
      </c>
      <c r="CD34" s="1">
        <v>2100</v>
      </c>
      <c r="CE34" s="1">
        <v>2.2000000000000002</v>
      </c>
      <c r="CF34" s="1" t="s">
        <v>124</v>
      </c>
      <c r="CG34" s="1" t="s">
        <v>125</v>
      </c>
      <c r="CH34" s="1" t="s">
        <v>126</v>
      </c>
      <c r="CI34" s="1" t="s">
        <v>127</v>
      </c>
      <c r="CJ34" s="1" t="s">
        <v>90</v>
      </c>
      <c r="CK34" s="1" t="s">
        <v>91</v>
      </c>
      <c r="CL34" s="1" t="s">
        <v>128</v>
      </c>
      <c r="CM34" s="1" t="s">
        <v>86</v>
      </c>
      <c r="CN34" s="1" t="s">
        <v>114</v>
      </c>
      <c r="CO34" s="1" t="s">
        <v>89</v>
      </c>
      <c r="CP34" s="1" t="s">
        <v>86</v>
      </c>
      <c r="CQ34" s="1" t="s">
        <v>129</v>
      </c>
      <c r="CR34" s="1" t="s">
        <v>130</v>
      </c>
      <c r="CS34" s="1" t="s">
        <v>131</v>
      </c>
      <c r="CT34" s="1" t="s">
        <v>74</v>
      </c>
      <c r="CU34" s="1" t="s">
        <v>113</v>
      </c>
      <c r="CV34" s="1" t="s">
        <v>114</v>
      </c>
      <c r="CW34" s="1">
        <v>1070</v>
      </c>
      <c r="CX34" s="1">
        <v>5</v>
      </c>
      <c r="CY34" s="1">
        <v>160</v>
      </c>
      <c r="CZ34" s="1">
        <v>150</v>
      </c>
      <c r="DA34" s="1">
        <v>85</v>
      </c>
      <c r="DB34" s="1">
        <v>40</v>
      </c>
      <c r="DC34" s="1">
        <v>280</v>
      </c>
      <c r="DD34" s="1">
        <v>240</v>
      </c>
      <c r="DE34" s="1">
        <v>110</v>
      </c>
      <c r="DF34" s="1" t="s">
        <v>132</v>
      </c>
      <c r="DG34" s="1" t="s">
        <v>133</v>
      </c>
      <c r="DH34" s="1" t="s">
        <v>134</v>
      </c>
      <c r="DI34" s="1" t="s">
        <v>135</v>
      </c>
      <c r="DJ34" s="1" t="s">
        <v>136</v>
      </c>
      <c r="DK34" s="1" t="s">
        <v>137</v>
      </c>
      <c r="DL34">
        <v>350</v>
      </c>
      <c r="DM34">
        <v>333</v>
      </c>
      <c r="DN34">
        <v>17</v>
      </c>
      <c r="DO34" s="1">
        <v>2</v>
      </c>
      <c r="DP34" s="1">
        <v>2474</v>
      </c>
    </row>
    <row r="35" spans="1:120" x14ac:dyDescent="0.3">
      <c r="A35" s="57" t="s">
        <v>67</v>
      </c>
      <c r="B35" s="57" t="s">
        <v>68</v>
      </c>
      <c r="C35" s="57" t="s">
        <v>69</v>
      </c>
      <c r="D35" s="57" t="s">
        <v>70</v>
      </c>
      <c r="E35" s="57" t="s">
        <v>71</v>
      </c>
      <c r="F35" s="57" t="s">
        <v>67</v>
      </c>
      <c r="G35">
        <v>30</v>
      </c>
      <c r="O35">
        <v>0</v>
      </c>
      <c r="P35">
        <v>0</v>
      </c>
      <c r="Q35">
        <v>0</v>
      </c>
      <c r="S35">
        <v>0</v>
      </c>
      <c r="T35">
        <v>0</v>
      </c>
      <c r="X35">
        <v>0</v>
      </c>
      <c r="AA35">
        <v>10</v>
      </c>
      <c r="AB35">
        <v>40</v>
      </c>
      <c r="AC35">
        <v>10</v>
      </c>
      <c r="AD35">
        <v>640</v>
      </c>
      <c r="AF35">
        <v>30</v>
      </c>
      <c r="AG35">
        <v>457</v>
      </c>
      <c r="AH35" s="8">
        <f t="shared" si="1"/>
        <v>6.5645514223194742E-2</v>
      </c>
      <c r="AL35" s="15"/>
      <c r="AM35" s="15"/>
      <c r="AN35" s="15"/>
      <c r="AO35" s="15"/>
      <c r="AP35" s="20">
        <v>1127000</v>
      </c>
      <c r="AQ35" s="20">
        <v>68000</v>
      </c>
      <c r="AR35" s="20"/>
      <c r="AS35" s="20"/>
      <c r="AT35" s="7">
        <v>4.3528299151592202</v>
      </c>
      <c r="AU35" s="7">
        <v>0.25056506401553502</v>
      </c>
      <c r="AV35" s="7">
        <v>0.10759018174980001</v>
      </c>
      <c r="AW35" s="7">
        <v>-1.9121012582563001E-2</v>
      </c>
      <c r="AX35" s="7">
        <v>-2.8465842898544501E-2</v>
      </c>
      <c r="AY35" s="7">
        <v>5.2017438797278499E-2</v>
      </c>
      <c r="AZ35" s="7">
        <v>0.13854429894956299</v>
      </c>
      <c r="BE35" s="2">
        <v>23</v>
      </c>
      <c r="BG35" s="9">
        <v>10</v>
      </c>
      <c r="BH35">
        <v>5</v>
      </c>
      <c r="BI35">
        <v>5</v>
      </c>
      <c r="BJ35">
        <v>5</v>
      </c>
      <c r="BK35">
        <v>0</v>
      </c>
      <c r="BL35">
        <v>10</v>
      </c>
      <c r="BM35">
        <v>0</v>
      </c>
      <c r="BN35">
        <v>0</v>
      </c>
      <c r="BO35">
        <v>10</v>
      </c>
      <c r="BP35">
        <v>0</v>
      </c>
      <c r="BQ35">
        <v>0</v>
      </c>
      <c r="BR35">
        <v>0</v>
      </c>
      <c r="BS35">
        <v>5</v>
      </c>
      <c r="BT35">
        <v>10</v>
      </c>
      <c r="BU35">
        <v>0</v>
      </c>
      <c r="BV35">
        <v>5</v>
      </c>
      <c r="BW35">
        <v>0</v>
      </c>
      <c r="BX35">
        <v>0</v>
      </c>
      <c r="BY35">
        <v>10</v>
      </c>
      <c r="BZ35">
        <v>0</v>
      </c>
      <c r="CA35" s="1">
        <v>10</v>
      </c>
      <c r="CB35" s="1">
        <v>10</v>
      </c>
      <c r="CC35" s="1">
        <v>0</v>
      </c>
      <c r="CD35" s="1">
        <v>0</v>
      </c>
      <c r="CE35" s="1">
        <v>1.3</v>
      </c>
      <c r="CF35" s="1" t="s">
        <v>73</v>
      </c>
      <c r="CG35" s="1" t="s">
        <v>74</v>
      </c>
      <c r="CH35" s="1" t="s">
        <v>75</v>
      </c>
      <c r="CI35" s="1" t="s">
        <v>72</v>
      </c>
      <c r="CJ35" s="1" t="s">
        <v>72</v>
      </c>
      <c r="CK35" s="1" t="s">
        <v>72</v>
      </c>
      <c r="CL35" s="1" t="s">
        <v>72</v>
      </c>
      <c r="CM35" s="1" t="s">
        <v>72</v>
      </c>
      <c r="CN35" s="1" t="s">
        <v>72</v>
      </c>
      <c r="CO35" s="1" t="s">
        <v>72</v>
      </c>
      <c r="CP35" s="1" t="s">
        <v>72</v>
      </c>
      <c r="CQ35" s="1" t="s">
        <v>72</v>
      </c>
      <c r="CR35" s="1" t="s">
        <v>72</v>
      </c>
      <c r="CS35" s="1" t="s">
        <v>72</v>
      </c>
      <c r="CT35" s="1" t="s">
        <v>72</v>
      </c>
      <c r="CU35" s="1" t="s">
        <v>72</v>
      </c>
      <c r="CV35" s="1" t="s">
        <v>72</v>
      </c>
      <c r="CW35" s="1">
        <v>30</v>
      </c>
      <c r="CX35" s="1">
        <v>0</v>
      </c>
      <c r="CY35" s="1">
        <v>0</v>
      </c>
      <c r="CZ35" s="1">
        <v>5</v>
      </c>
      <c r="DA35" s="1">
        <v>0</v>
      </c>
      <c r="DB35" s="1">
        <v>0</v>
      </c>
      <c r="DC35" s="1">
        <v>0</v>
      </c>
      <c r="DD35" s="1">
        <v>5</v>
      </c>
      <c r="DE35" s="1">
        <v>15</v>
      </c>
      <c r="DF35" s="1" t="s">
        <v>74</v>
      </c>
      <c r="DG35" s="1" t="s">
        <v>76</v>
      </c>
      <c r="DH35" s="1" t="s">
        <v>74</v>
      </c>
      <c r="DI35" s="1" t="s">
        <v>72</v>
      </c>
      <c r="DJ35" s="1" t="s">
        <v>72</v>
      </c>
      <c r="DK35" s="1" t="s">
        <v>76</v>
      </c>
      <c r="DL35">
        <v>494</v>
      </c>
      <c r="DM35">
        <v>457</v>
      </c>
      <c r="DN35">
        <v>38</v>
      </c>
      <c r="DO35" s="1">
        <v>3</v>
      </c>
      <c r="DP35" s="1">
        <v>1138</v>
      </c>
    </row>
    <row r="36" spans="1:120" s="11" customFormat="1" x14ac:dyDescent="0.3">
      <c r="A36" s="55"/>
      <c r="B36" s="55"/>
      <c r="C36" s="55"/>
      <c r="D36" s="55"/>
      <c r="E36" s="55"/>
      <c r="F36" s="55"/>
      <c r="G36" s="3">
        <f>SUM(G5:G35)</f>
        <v>269325</v>
      </c>
      <c r="H36" s="3">
        <f t="shared" ref="H36:N36" si="3">AVERAGE(H5:H35)</f>
        <v>331.78571428571428</v>
      </c>
      <c r="I36" s="3">
        <f t="shared" si="3"/>
        <v>50.655172413793103</v>
      </c>
      <c r="J36" s="3">
        <f t="shared" si="3"/>
        <v>49.310344827586206</v>
      </c>
      <c r="K36" s="3">
        <f t="shared" si="3"/>
        <v>83.34482758620689</v>
      </c>
      <c r="L36" s="3">
        <f t="shared" si="3"/>
        <v>16.655172413793103</v>
      </c>
      <c r="M36" s="3">
        <f t="shared" si="3"/>
        <v>4169.130434782609</v>
      </c>
      <c r="N36" s="3">
        <f t="shared" si="3"/>
        <v>1464.3478260869565</v>
      </c>
      <c r="O36" s="3">
        <f>SUM(O5:O35)</f>
        <v>22910</v>
      </c>
      <c r="P36" s="3">
        <f>SUM(P5:P35)</f>
        <v>13430</v>
      </c>
      <c r="Q36" s="3">
        <f>SUM(Q5:Q35)</f>
        <v>7730</v>
      </c>
      <c r="R36" s="3"/>
      <c r="S36" s="3">
        <f t="shared" ref="S36:X36" si="4">SUM(S5:S35)</f>
        <v>7040</v>
      </c>
      <c r="T36" s="3">
        <f t="shared" si="4"/>
        <v>4700</v>
      </c>
      <c r="U36" s="3">
        <f t="shared" si="4"/>
        <v>65080</v>
      </c>
      <c r="V36" s="3">
        <f t="shared" si="4"/>
        <v>81290</v>
      </c>
      <c r="W36" s="3">
        <f t="shared" si="4"/>
        <v>57620</v>
      </c>
      <c r="X36" s="3">
        <f t="shared" si="4"/>
        <v>213300</v>
      </c>
      <c r="Y36" s="3">
        <f t="shared" ref="Y36:AE36" si="5">AVERAGE(Y5:Y35)</f>
        <v>3.9812500000000002</v>
      </c>
      <c r="Z36" s="3">
        <f t="shared" si="5"/>
        <v>7.3312500000000007</v>
      </c>
      <c r="AA36" s="3">
        <f t="shared" si="5"/>
        <v>279.56521739130437</v>
      </c>
      <c r="AB36" s="3">
        <f t="shared" si="5"/>
        <v>360.43478260869563</v>
      </c>
      <c r="AC36" s="3">
        <f t="shared" si="5"/>
        <v>96.086956521739125</v>
      </c>
      <c r="AD36" s="3">
        <f t="shared" si="5"/>
        <v>1739.5652173913043</v>
      </c>
      <c r="AE36" s="3">
        <f t="shared" si="5"/>
        <v>5.5958333333333341</v>
      </c>
      <c r="AF36" s="3">
        <f>SUM(AF5:AF35)</f>
        <v>35790</v>
      </c>
      <c r="AK36" s="18"/>
      <c r="AP36" s="21"/>
      <c r="AQ36" s="21"/>
      <c r="AR36" s="21"/>
      <c r="AS36" s="21"/>
      <c r="AT36" s="12">
        <f t="shared" ref="AT36:AZ36" si="6">AVERAGE(AT5:AT35)</f>
        <v>4.0474210733840623</v>
      </c>
      <c r="AU36" s="12">
        <f t="shared" si="6"/>
        <v>-5.4843777759616602E-2</v>
      </c>
      <c r="AV36" s="12">
        <f t="shared" si="6"/>
        <v>-2.3380845773809802E-2</v>
      </c>
      <c r="AW36" s="12">
        <f t="shared" si="6"/>
        <v>-6.8449171021911281E-2</v>
      </c>
      <c r="AX36" s="12">
        <f t="shared" si="6"/>
        <v>-3.2063386310377848E-2</v>
      </c>
      <c r="AY36" s="12">
        <f t="shared" si="6"/>
        <v>7.1004308667738755E-2</v>
      </c>
      <c r="AZ36" s="12">
        <f t="shared" si="6"/>
        <v>-1.9546833212566654E-3</v>
      </c>
      <c r="BA36" s="13">
        <f>AVERAGE(BA5:BA35)</f>
        <v>8.0476190476190474</v>
      </c>
      <c r="BB36" s="13">
        <f t="shared" ref="BB36:BD36" si="7">AVERAGE(BB5:BB35)</f>
        <v>22.416666666666668</v>
      </c>
      <c r="BC36" s="13">
        <f t="shared" si="7"/>
        <v>2</v>
      </c>
      <c r="BD36" s="13">
        <f t="shared" si="7"/>
        <v>1.4</v>
      </c>
      <c r="BE36" s="5">
        <v>6384</v>
      </c>
      <c r="BF36" s="6"/>
      <c r="BG36" s="14">
        <f>SUM(BG5:BG35)</f>
        <v>273805</v>
      </c>
      <c r="BH36" s="11">
        <f t="shared" ref="BH36:BI36" si="8">SUM(BH5:BH35)</f>
        <v>136245</v>
      </c>
      <c r="BI36" s="11">
        <f t="shared" si="8"/>
        <v>137585</v>
      </c>
      <c r="BJ36" s="11">
        <f t="shared" ref="BJ36" si="9">SUM(BJ5:BJ35)</f>
        <v>42815</v>
      </c>
      <c r="BK36" s="11">
        <f t="shared" ref="BK36" si="10">SUM(BK5:BK35)</f>
        <v>33780</v>
      </c>
      <c r="BL36" s="11">
        <f t="shared" ref="BL36" si="11">SUM(BL5:BL35)</f>
        <v>82430</v>
      </c>
      <c r="BM36" s="11">
        <f t="shared" ref="BM36" si="12">SUM(BM5:BM35)</f>
        <v>67745</v>
      </c>
      <c r="BN36" s="11">
        <f t="shared" ref="BN36" si="13">SUM(BN5:BN35)</f>
        <v>47045</v>
      </c>
      <c r="CA36" s="11">
        <f>SUM(CA5:CA35)</f>
        <v>132380</v>
      </c>
      <c r="CG36" s="11">
        <f>SUM(CG5:CG35)</f>
        <v>0</v>
      </c>
      <c r="DL36" s="11">
        <f>SUM(DL5:DL35)</f>
        <v>6672</v>
      </c>
    </row>
    <row r="37" spans="1:120" x14ac:dyDescent="0.3">
      <c r="BJ37" s="8">
        <f>(BJ36/$BG$36)*100</f>
        <v>15.637040959807161</v>
      </c>
      <c r="BK37" s="8">
        <f t="shared" ref="BK37:BN37" si="14">(BK36/$BG$36)*100</f>
        <v>12.33724731104253</v>
      </c>
      <c r="BL37" s="8">
        <f t="shared" si="14"/>
        <v>30.105366958236701</v>
      </c>
      <c r="BM37" s="8">
        <f t="shared" si="14"/>
        <v>24.742060955789704</v>
      </c>
      <c r="BN37" s="8">
        <f t="shared" si="14"/>
        <v>17.181936049378209</v>
      </c>
      <c r="BO37" s="8">
        <f>SUM(BJ37:BN37)</f>
        <v>100.0036522342543</v>
      </c>
    </row>
    <row r="38" spans="1:120" x14ac:dyDescent="0.3">
      <c r="BJ38" s="8">
        <f>SUM(BJ37:BK37)</f>
        <v>27.974288270849691</v>
      </c>
      <c r="BL38" s="8">
        <f>SUM(BL37:BM37)</f>
        <v>54.847427914026404</v>
      </c>
    </row>
  </sheetData>
  <autoFilter ref="A1:DP1" xr:uid="{8FCE8A42-E585-48A0-B276-E508055FA515}">
    <sortState xmlns:xlrd2="http://schemas.microsoft.com/office/spreadsheetml/2017/richdata2" ref="A2:DP32">
      <sortCondition ref="F1"/>
    </sortState>
  </autoFilter>
  <hyperlinks>
    <hyperlink ref="BE4" r:id="rId1" xr:uid="{E926631B-5FAE-4C2C-8981-B9B92E7F57D0}"/>
    <hyperlink ref="AL4" r:id="rId2" location="/CBS/nl/dataset/86052NED/table" display="https://opendata.cbs.nl/ - /CBS/nl/dataset/86052NED/table" xr:uid="{7E1688A3-2DC4-40CE-98EF-F1465811FC70}"/>
    <hyperlink ref="AM4" r:id="rId3" location="/CBS/nl/dataset/86052NED/table" display="https://opendata.cbs.nl/ - /CBS/nl/dataset/86052NED/table" xr:uid="{9FA4B643-D1DF-41FA-8842-5376B5F8E134}"/>
    <hyperlink ref="AN4" r:id="rId4" location="/CBS/nl/dataset/86052NED/table" display="https://opendata.cbs.nl/ - /CBS/nl/dataset/86052NED/table" xr:uid="{1BD6BB9E-7A65-42BE-BF45-5ADCFC7BFD51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Kees Krul</dc:creator>
  <cp:lastModifiedBy>Kees Krul</cp:lastModifiedBy>
  <dcterms:created xsi:type="dcterms:W3CDTF">2025-05-16T12:15:01Z</dcterms:created>
  <dcterms:modified xsi:type="dcterms:W3CDTF">2025-05-28T12:04:30Z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2025-05-16T12:17:49Z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ef1ade43-00cc-4f88-a466-993fe623eabc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