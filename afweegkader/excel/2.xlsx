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ur-my.sharepoint.com/personal/68392gdv_eur_nl/Documents/Documents/EUR Resilient Delta/BD/"/>
    </mc:Choice>
  </mc:AlternateContent>
  <xr:revisionPtr revIDLastSave="123" documentId="8_{D164F152-765C-418E-B836-D1474CE86E55}" xr6:coauthVersionLast="47" xr6:coauthVersionMax="47" xr10:uidLastSave="{1EFBEF1B-E414-4FA2-B7AD-21289360EE4C}"/>
  <bookViews>
    <workbookView xWindow="-110" yWindow="-110" windowWidth="19420" windowHeight="10300" xr2:uid="{8533A3E5-55A2-4EDA-83BD-C9817308E89D}"/>
  </bookViews>
  <sheets>
    <sheet name="Scoreformulier Boar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3" l="1"/>
  <c r="L23" i="3"/>
  <c r="M23" i="3"/>
  <c r="N23" i="3"/>
  <c r="O23" i="3"/>
  <c r="P23" i="3"/>
  <c r="Q23" i="3"/>
  <c r="R23" i="3"/>
  <c r="S23" i="3"/>
  <c r="T23" i="3"/>
  <c r="U23" i="3"/>
  <c r="V23" i="3"/>
  <c r="L22" i="3"/>
  <c r="M22" i="3"/>
  <c r="N22" i="3"/>
  <c r="O22" i="3"/>
  <c r="P22" i="3"/>
  <c r="Q22" i="3"/>
  <c r="R22" i="3"/>
  <c r="S22" i="3"/>
  <c r="T22" i="3"/>
  <c r="U22" i="3"/>
  <c r="V22" i="3"/>
  <c r="L21" i="3"/>
  <c r="M21" i="3"/>
  <c r="N21" i="3"/>
  <c r="O21" i="3"/>
  <c r="P21" i="3"/>
  <c r="Q21" i="3"/>
  <c r="R21" i="3"/>
  <c r="S21" i="3"/>
  <c r="T21" i="3"/>
  <c r="U21" i="3"/>
  <c r="L20" i="3"/>
  <c r="M20" i="3"/>
  <c r="N20" i="3"/>
  <c r="O20" i="3"/>
  <c r="P20" i="3"/>
  <c r="Q20" i="3"/>
  <c r="R20" i="3"/>
  <c r="S20" i="3"/>
  <c r="T20" i="3"/>
  <c r="U20" i="3"/>
  <c r="V20" i="3"/>
  <c r="K23" i="3"/>
  <c r="J23" i="3"/>
  <c r="I23" i="3"/>
  <c r="H23" i="3"/>
  <c r="G23" i="3"/>
  <c r="F23" i="3"/>
  <c r="E23" i="3"/>
  <c r="D23" i="3"/>
  <c r="C23" i="3"/>
  <c r="K22" i="3"/>
  <c r="J22" i="3"/>
  <c r="I22" i="3"/>
  <c r="H22" i="3"/>
  <c r="G22" i="3"/>
  <c r="F22" i="3"/>
  <c r="E22" i="3"/>
  <c r="D22" i="3"/>
  <c r="C22" i="3"/>
  <c r="K21" i="3"/>
  <c r="J21" i="3"/>
  <c r="I21" i="3"/>
  <c r="H21" i="3"/>
  <c r="G21" i="3"/>
  <c r="F21" i="3"/>
  <c r="E21" i="3"/>
  <c r="D21" i="3"/>
  <c r="C21" i="3"/>
  <c r="K20" i="3"/>
  <c r="J20" i="3"/>
  <c r="I20" i="3"/>
  <c r="H20" i="3"/>
  <c r="G20" i="3"/>
  <c r="F20" i="3"/>
  <c r="E20" i="3"/>
  <c r="D20" i="3"/>
  <c r="C20" i="3"/>
  <c r="K24" i="3" l="1"/>
  <c r="J24" i="3"/>
  <c r="I24" i="3"/>
  <c r="H24" i="3"/>
  <c r="G24" i="3"/>
  <c r="F24" i="3"/>
  <c r="E24" i="3"/>
  <c r="D24" i="3"/>
  <c r="C24" i="3"/>
  <c r="V24" i="3"/>
  <c r="U24" i="3"/>
  <c r="T24" i="3"/>
  <c r="S24" i="3"/>
  <c r="P24" i="3"/>
  <c r="R24" i="3"/>
  <c r="Q24" i="3"/>
  <c r="N24" i="3"/>
  <c r="O24" i="3"/>
  <c r="M24" i="3"/>
  <c r="L24" i="3"/>
</calcChain>
</file>

<file path=xl/sharedStrings.xml><?xml version="1.0" encoding="utf-8"?>
<sst xmlns="http://schemas.openxmlformats.org/spreadsheetml/2006/main" count="191" uniqueCount="69">
  <si>
    <t>Familieschool</t>
  </si>
  <si>
    <t>JINC</t>
  </si>
  <si>
    <t>Havenprogramma</t>
  </si>
  <si>
    <t>Criterium</t>
  </si>
  <si>
    <t>Toelichting</t>
  </si>
  <si>
    <t>1. Impact</t>
  </si>
  <si>
    <t>Impact brede welvaart</t>
  </si>
  <si>
    <t>Heeft het project een (directe) positieve impact op de brede welvaart voor de regio?</t>
  </si>
  <si>
    <t>Impact op bewoners</t>
  </si>
  <si>
    <t xml:space="preserve">In hoeverre worden bewoners in het project betrokken en/of geraakt door de voorgestelde acties? </t>
  </si>
  <si>
    <t>Innovatie binnen gemeenten</t>
  </si>
  <si>
    <t>Is er sprake van een vernieuwende aanpak en draagt het project bij aan nieuwe kennis en/of werkwijzen?</t>
  </si>
  <si>
    <t xml:space="preserve">2. Regionale inbedding </t>
  </si>
  <si>
    <t>Regiobreedte</t>
  </si>
  <si>
    <t xml:space="preserve">In hoeverre betreft de samenwerking alle 4 de gemeenten, 3, of slechts 2, en hoe is de balans tussen de voorgestelde impact over de gemeentegrenzen heen?  </t>
  </si>
  <si>
    <t>Samenwerkingsbreedte</t>
  </si>
  <si>
    <t>In welke mate werken (lokale) gemeenten, onderwijs en bedrijfsleven en/of burgers samen?</t>
  </si>
  <si>
    <t>Schaalbaarheid</t>
  </si>
  <si>
    <t>In hoeverre is de beschreven impact is naar verwachting opschaalbaar/ toepasbaar in de gehele regio?</t>
  </si>
  <si>
    <t xml:space="preserve">3. Financiële verantwoording </t>
  </si>
  <si>
    <t>Doelmatigheid</t>
  </si>
  <si>
    <t>De bijdrage (middel) staat in verhouding tot wat het oplevert (doel) voor de regio</t>
  </si>
  <si>
    <t>Mate van (financiële) inbreng vanuit andere partners</t>
  </si>
  <si>
    <t>Wordt het project mede gefinancierd door partners (cash of in kind)?</t>
  </si>
  <si>
    <t xml:space="preserve">Duurzaamheid </t>
  </si>
  <si>
    <t>Is er een toekomstbestendige financiering (bv. een ‘business case’), na afloop van het project?</t>
  </si>
  <si>
    <t>4. Haalbaarheid</t>
  </si>
  <si>
    <t>Tijdige realisatie</t>
  </si>
  <si>
    <t>Is het project uitvoerbaar binnen de periode van de Regio Deal?</t>
  </si>
  <si>
    <t>Projectorganisatie en governance</t>
  </si>
  <si>
    <t>Zijn de rollen, taken en deliverables en het besluitvormingsproces binnen het project helder beschreven?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</si>
  <si>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</si>
  <si>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</si>
  <si>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</si>
  <si>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</si>
  <si>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</si>
  <si>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</si>
  <si>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</si>
  <si>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</si>
  <si>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</si>
  <si>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5. Totaal</t>
  </si>
  <si>
    <t>2. Regionale Inbedding</t>
  </si>
  <si>
    <t>3. Financiele Verantwoording</t>
  </si>
  <si>
    <t>TOTAAL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</si>
  <si>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</si>
  <si>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</si>
  <si>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</si>
  <si>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</si>
  <si>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</si>
  <si>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</si>
  <si>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</si>
  <si>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</si>
  <si>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</si>
  <si>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</si>
  <si>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</si>
  <si>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Groen zonder grenzen - Wijk in Bloei</t>
  </si>
  <si>
    <t>Bite into your future - FIA</t>
  </si>
  <si>
    <t>TOV Experience Center</t>
  </si>
  <si>
    <t>Ondersteunende activiteiten campusvorming</t>
  </si>
  <si>
    <t>Verhogen bereik PO-VO</t>
  </si>
  <si>
    <t>MaasRakkers</t>
  </si>
  <si>
    <t>Loods M</t>
  </si>
  <si>
    <t>Risico’s en beheersmaatregelen</t>
  </si>
  <si>
    <t>Zijn de risico’s en bijbehorende beheersmaatregelen realistisch beschreven?</t>
  </si>
  <si>
    <t>1 afwezig</t>
  </si>
  <si>
    <t>3 gedeeltelijk</t>
  </si>
  <si>
    <t>2 zwak</t>
  </si>
  <si>
    <t>4 aanwezig</t>
  </si>
  <si>
    <t>5 sterk aanwezig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</si>
</sst>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 wrapText="1"/>
    </xf>
    <xf numFmtId="0" fontId="0" fillId="12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164" fontId="0" fillId="4" borderId="1" xfId="0" applyNumberForma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164" fontId="6" fillId="13" borderId="1" xfId="0" applyNumberFormat="1" applyFont="1" applyFill="1" applyBorder="1" applyAlignment="1">
      <alignment horizontal="left" vertical="top"/>
    </xf>
    <xf numFmtId="0" fontId="8" fillId="0" borderId="0" xfId="0" applyFont="1"/>
    <xf numFmtId="0" fontId="9" fillId="3" borderId="1" xfId="0" applyFont="1" applyFill="1" applyBorder="1" applyAlignment="1">
      <alignment horizontal="left" vertical="top" wrapText="1"/>
    </xf>
    <xf numFmtId="0" fontId="9" fillId="3" borderId="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D499-05F2-46B4-8496-F737E64E781C}">
  <dimension ref="A1:V24"/>
  <sheetViews>
    <sheetView tabSelected="1" topLeftCell="E1" zoomScale="90" zoomScaleNormal="90" workbookViewId="0">
      <pane ySplit="1" topLeftCell="A2" activePane="bottomLeft" state="frozen"/>
      <selection pane="bottomLeft" activeCell="L18" sqref="L18"/>
    </sheetView>
  </sheetViews>
  <sheetFormatPr defaultRowHeight="12.5" x14ac:dyDescent="0.25"/>
  <cols>
    <col min="1" max="11" width="20.54296875" customWidth="1"/>
    <col min="12" max="12" width="26.90625" customWidth="1"/>
    <col min="13" max="17" width="27" customWidth="1"/>
    <col min="18" max="22" width="33" customWidth="1"/>
  </cols>
  <sheetData>
    <row r="1" spans="1:22" ht="18" x14ac:dyDescent="0.25">
      <c r="A1" s="17" t="s">
        <v>3</v>
      </c>
      <c r="B1" s="17" t="s">
        <v>4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  <c r="H1" s="17" t="s">
        <v>36</v>
      </c>
      <c r="I1" s="17" t="s">
        <v>37</v>
      </c>
      <c r="J1" s="17" t="s">
        <v>38</v>
      </c>
      <c r="K1" s="17" t="s">
        <v>39</v>
      </c>
      <c r="L1" s="18" t="s">
        <v>44</v>
      </c>
      <c r="M1" s="18" t="s">
        <v>45</v>
      </c>
      <c r="N1" s="18" t="s">
        <v>46</v>
      </c>
      <c r="O1" s="18" t="s">
        <v>47</v>
      </c>
      <c r="P1" s="18" t="s">
        <v>48</v>
      </c>
      <c r="Q1" s="18" t="s">
        <v>49</v>
      </c>
      <c r="R1" s="18" t="s">
        <v>50</v>
      </c>
      <c r="S1" s="18" t="s">
        <v>51</v>
      </c>
      <c r="T1" s="18" t="s">
        <v>52</v>
      </c>
      <c r="U1" s="18" t="s">
        <v>53</v>
      </c>
      <c r="V1" s="18" t="s">
        <v>54</v>
      </c>
    </row>
    <row r="2" spans="1:22" ht="54" customHeight="1" x14ac:dyDescent="0.25">
      <c r="A2" s="1"/>
      <c r="B2" s="1"/>
      <c r="C2" s="2" t="s">
        <v>0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2</v>
      </c>
      <c r="I2" s="2" t="s">
        <v>59</v>
      </c>
      <c r="J2" s="2" t="s">
        <v>1</v>
      </c>
      <c r="K2" s="2" t="s">
        <v>60</v>
      </c>
      <c r="L2" s="2" t="s">
        <v>61</v>
      </c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s="16" customFormat="1" ht="22.5" customHeight="1" x14ac:dyDescent="0.35">
      <c r="A3" s="19" t="s">
        <v>5</v>
      </c>
      <c r="B3" s="20"/>
      <c r="C3" s="20"/>
      <c r="D3" s="20"/>
      <c r="E3" s="20"/>
      <c r="F3" s="20"/>
      <c r="G3" s="20"/>
      <c r="H3" s="20"/>
      <c r="I3" s="20"/>
      <c r="J3" s="20"/>
      <c r="K3" s="21"/>
      <c r="L3" s="19" t="s">
        <v>5</v>
      </c>
      <c r="M3" s="20"/>
      <c r="N3" s="20"/>
      <c r="O3" s="20"/>
      <c r="P3" s="20"/>
      <c r="Q3" s="20"/>
      <c r="R3" s="20"/>
      <c r="S3" s="20"/>
      <c r="T3" s="20"/>
      <c r="U3" s="20"/>
      <c r="V3" s="21"/>
    </row>
    <row r="4" spans="1:22" ht="75" customHeight="1" x14ac:dyDescent="0.25">
      <c r="A4" s="3" t="s">
        <v>6</v>
      </c>
      <c r="B4" s="3" t="s">
        <v>7</v>
      </c>
      <c r="C4" s="4" t="s">
        <v>64</v>
      </c>
      <c r="D4" s="4" t="s">
        <v>67</v>
      </c>
      <c r="E4" s="4" t="s">
        <v>65</v>
      </c>
      <c r="F4" s="4" t="s">
        <v>65</v>
      </c>
      <c r="G4" s="4" t="s">
        <v>65</v>
      </c>
      <c r="H4" s="4" t="s">
        <v>67</v>
      </c>
      <c r="I4" s="4" t="s">
        <v>67</v>
      </c>
      <c r="J4" s="4" t="s">
        <v>67</v>
      </c>
      <c r="K4" s="4" t="s">
        <v>66</v>
      </c>
      <c r="L4" s="4" t="s">
        <v>67</v>
      </c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75" customHeight="1" x14ac:dyDescent="0.25">
      <c r="A5" s="3" t="s">
        <v>8</v>
      </c>
      <c r="B5" s="3" t="s">
        <v>9</v>
      </c>
      <c r="C5" s="4" t="s">
        <v>65</v>
      </c>
      <c r="D5" s="4" t="s">
        <v>68</v>
      </c>
      <c r="E5" s="4" t="s">
        <v>67</v>
      </c>
      <c r="F5" s="4" t="s">
        <v>67</v>
      </c>
      <c r="G5" s="4" t="s">
        <v>67</v>
      </c>
      <c r="H5" s="4" t="s">
        <v>67</v>
      </c>
      <c r="I5" s="4" t="s">
        <v>67</v>
      </c>
      <c r="J5" s="4" t="s">
        <v>67</v>
      </c>
      <c r="K5" s="4" t="s">
        <v>66</v>
      </c>
      <c r="L5" s="4" t="s">
        <v>65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75" customHeight="1" x14ac:dyDescent="0.25">
      <c r="A6" s="3" t="s">
        <v>10</v>
      </c>
      <c r="B6" s="3" t="s">
        <v>11</v>
      </c>
      <c r="C6" s="4" t="s">
        <v>65</v>
      </c>
      <c r="D6" s="4" t="s">
        <v>68</v>
      </c>
      <c r="E6" s="4" t="s">
        <v>66</v>
      </c>
      <c r="F6" s="4" t="s">
        <v>66</v>
      </c>
      <c r="G6" s="4" t="s">
        <v>66</v>
      </c>
      <c r="H6" s="4" t="s">
        <v>66</v>
      </c>
      <c r="I6" s="4" t="s">
        <v>65</v>
      </c>
      <c r="J6" s="4" t="s">
        <v>65</v>
      </c>
      <c r="K6" s="4" t="s">
        <v>67</v>
      </c>
      <c r="L6" s="4" t="s">
        <v>68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s="16" customFormat="1" ht="22.5" customHeight="1" x14ac:dyDescent="0.35">
      <c r="A7" s="19" t="s">
        <v>12</v>
      </c>
      <c r="B7" s="20"/>
      <c r="C7" s="20"/>
      <c r="D7" s="20"/>
      <c r="E7" s="20"/>
      <c r="F7" s="20"/>
      <c r="G7" s="20"/>
      <c r="H7" s="20"/>
      <c r="I7" s="20"/>
      <c r="J7" s="20"/>
      <c r="K7" s="21"/>
      <c r="L7" s="19" t="s">
        <v>12</v>
      </c>
      <c r="M7" s="20"/>
      <c r="N7" s="20"/>
      <c r="O7" s="20"/>
      <c r="P7" s="20"/>
      <c r="Q7" s="20"/>
      <c r="R7" s="20"/>
      <c r="S7" s="20"/>
      <c r="T7" s="20"/>
      <c r="U7" s="20"/>
      <c r="V7" s="21"/>
    </row>
    <row r="8" spans="1:22" ht="75" customHeight="1" x14ac:dyDescent="0.25">
      <c r="A8" s="5" t="s">
        <v>13</v>
      </c>
      <c r="B8" s="5" t="s">
        <v>14</v>
      </c>
      <c r="C8" s="6" t="s">
        <v>66</v>
      </c>
      <c r="D8" s="6" t="s">
        <v>66</v>
      </c>
      <c r="E8" s="6" t="s">
        <v>67</v>
      </c>
      <c r="F8" s="6" t="s">
        <v>66</v>
      </c>
      <c r="G8" s="6" t="s">
        <v>68</v>
      </c>
      <c r="H8" s="6" t="s">
        <v>67</v>
      </c>
      <c r="I8" s="6" t="s">
        <v>68</v>
      </c>
      <c r="J8" s="6" t="s">
        <v>67</v>
      </c>
      <c r="K8" s="6" t="s">
        <v>67</v>
      </c>
      <c r="L8" s="6" t="s">
        <v>68</v>
      </c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75" customHeight="1" x14ac:dyDescent="0.25">
      <c r="A9" s="5" t="s">
        <v>15</v>
      </c>
      <c r="B9" s="5" t="s">
        <v>16</v>
      </c>
      <c r="C9" s="6" t="s">
        <v>66</v>
      </c>
      <c r="D9" s="6" t="s">
        <v>65</v>
      </c>
      <c r="E9" s="6" t="s">
        <v>65</v>
      </c>
      <c r="F9" s="6" t="s">
        <v>67</v>
      </c>
      <c r="G9" s="6" t="s">
        <v>67</v>
      </c>
      <c r="H9" s="6" t="s">
        <v>67</v>
      </c>
      <c r="I9" s="6" t="s">
        <v>68</v>
      </c>
      <c r="J9" s="6" t="s">
        <v>65</v>
      </c>
      <c r="K9" s="6" t="s">
        <v>65</v>
      </c>
      <c r="L9" s="6" t="s">
        <v>67</v>
      </c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75" customHeight="1" x14ac:dyDescent="0.25">
      <c r="A10" s="5" t="s">
        <v>17</v>
      </c>
      <c r="B10" s="5" t="s">
        <v>18</v>
      </c>
      <c r="C10" s="6" t="s">
        <v>65</v>
      </c>
      <c r="D10" s="6" t="s">
        <v>68</v>
      </c>
      <c r="E10" s="6" t="s">
        <v>65</v>
      </c>
      <c r="F10" s="6" t="s">
        <v>65</v>
      </c>
      <c r="G10" s="6" t="s">
        <v>65</v>
      </c>
      <c r="H10" s="6" t="s">
        <v>67</v>
      </c>
      <c r="I10" s="6" t="s">
        <v>68</v>
      </c>
      <c r="J10" s="6" t="s">
        <v>67</v>
      </c>
      <c r="K10" s="6" t="s">
        <v>67</v>
      </c>
      <c r="L10" s="6" t="s">
        <v>67</v>
      </c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s="16" customFormat="1" ht="22.5" customHeight="1" x14ac:dyDescent="0.35">
      <c r="A11" s="19" t="s">
        <v>19</v>
      </c>
      <c r="B11" s="20"/>
      <c r="C11" s="20"/>
      <c r="D11" s="20"/>
      <c r="E11" s="20"/>
      <c r="F11" s="20"/>
      <c r="G11" s="20"/>
      <c r="H11" s="20"/>
      <c r="I11" s="20"/>
      <c r="J11" s="20"/>
      <c r="K11" s="21"/>
      <c r="L11" s="19" t="s">
        <v>19</v>
      </c>
      <c r="M11" s="20"/>
      <c r="N11" s="20"/>
      <c r="O11" s="20"/>
      <c r="P11" s="20"/>
      <c r="Q11" s="20"/>
      <c r="R11" s="20"/>
      <c r="S11" s="20"/>
      <c r="T11" s="20"/>
      <c r="U11" s="20"/>
      <c r="V11" s="21"/>
    </row>
    <row r="12" spans="1:22" ht="75" customHeight="1" x14ac:dyDescent="0.25">
      <c r="A12" s="7" t="s">
        <v>20</v>
      </c>
      <c r="B12" s="7" t="s">
        <v>21</v>
      </c>
      <c r="C12" s="8" t="s">
        <v>65</v>
      </c>
      <c r="D12" s="8" t="s">
        <v>67</v>
      </c>
      <c r="E12" s="8" t="s">
        <v>67</v>
      </c>
      <c r="F12" s="8" t="s">
        <v>67</v>
      </c>
      <c r="G12" s="8" t="s">
        <v>67</v>
      </c>
      <c r="H12" s="8" t="s">
        <v>68</v>
      </c>
      <c r="I12" s="8" t="s">
        <v>68</v>
      </c>
      <c r="J12" s="8" t="s">
        <v>67</v>
      </c>
      <c r="K12" s="8" t="s">
        <v>68</v>
      </c>
      <c r="L12" s="8" t="s">
        <v>67</v>
      </c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75" customHeight="1" x14ac:dyDescent="0.25">
      <c r="A13" s="7" t="s">
        <v>22</v>
      </c>
      <c r="B13" s="7" t="s">
        <v>23</v>
      </c>
      <c r="C13" s="8" t="s">
        <v>67</v>
      </c>
      <c r="D13" s="8" t="s">
        <v>68</v>
      </c>
      <c r="E13" s="8" t="s">
        <v>67</v>
      </c>
      <c r="F13" s="8" t="s">
        <v>67</v>
      </c>
      <c r="G13" s="8" t="s">
        <v>67</v>
      </c>
      <c r="H13" s="8" t="s">
        <v>68</v>
      </c>
      <c r="I13" s="8" t="s">
        <v>67</v>
      </c>
      <c r="J13" s="8" t="s">
        <v>68</v>
      </c>
      <c r="K13" s="8" t="s">
        <v>67</v>
      </c>
      <c r="L13" s="8" t="s">
        <v>68</v>
      </c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75" customHeight="1" x14ac:dyDescent="0.25">
      <c r="A14" s="7" t="s">
        <v>24</v>
      </c>
      <c r="B14" s="7" t="s">
        <v>25</v>
      </c>
      <c r="C14" s="8" t="s">
        <v>65</v>
      </c>
      <c r="D14" s="8" t="s">
        <v>67</v>
      </c>
      <c r="E14" s="8" t="s">
        <v>65</v>
      </c>
      <c r="F14" s="8" t="s">
        <v>67</v>
      </c>
      <c r="G14" s="8" t="s">
        <v>66</v>
      </c>
      <c r="H14" s="8" t="s">
        <v>65</v>
      </c>
      <c r="I14" s="8" t="s">
        <v>67</v>
      </c>
      <c r="J14" s="8" t="s">
        <v>65</v>
      </c>
      <c r="K14" s="8" t="s">
        <v>65</v>
      </c>
      <c r="L14" s="8" t="s">
        <v>67</v>
      </c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s="16" customFormat="1" ht="22.5" customHeight="1" x14ac:dyDescent="0.35">
      <c r="A15" s="19" t="s">
        <v>26</v>
      </c>
      <c r="B15" s="20"/>
      <c r="C15" s="20"/>
      <c r="D15" s="20"/>
      <c r="E15" s="20"/>
      <c r="F15" s="20"/>
      <c r="G15" s="20"/>
      <c r="H15" s="20"/>
      <c r="I15" s="20"/>
      <c r="J15" s="20"/>
      <c r="K15" s="21"/>
      <c r="L15" s="19" t="s">
        <v>26</v>
      </c>
      <c r="M15" s="20"/>
      <c r="N15" s="20"/>
      <c r="O15" s="20"/>
      <c r="P15" s="20"/>
      <c r="Q15" s="20"/>
      <c r="R15" s="20"/>
      <c r="S15" s="20"/>
      <c r="T15" s="20"/>
      <c r="U15" s="20"/>
      <c r="V15" s="21"/>
    </row>
    <row r="16" spans="1:22" ht="75" customHeight="1" x14ac:dyDescent="0.25">
      <c r="A16" s="9" t="s">
        <v>27</v>
      </c>
      <c r="B16" s="9" t="s">
        <v>28</v>
      </c>
      <c r="C16" s="10" t="s">
        <v>68</v>
      </c>
      <c r="D16" s="10" t="s">
        <v>68</v>
      </c>
      <c r="E16" s="10" t="s">
        <v>67</v>
      </c>
      <c r="F16" s="10" t="s">
        <v>67</v>
      </c>
      <c r="G16" s="10" t="s">
        <v>67</v>
      </c>
      <c r="H16" s="10" t="s">
        <v>67</v>
      </c>
      <c r="I16" s="10" t="s">
        <v>68</v>
      </c>
      <c r="J16" s="10" t="s">
        <v>67</v>
      </c>
      <c r="K16" s="10" t="s">
        <v>68</v>
      </c>
      <c r="L16" s="10" t="s">
        <v>67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75" customHeight="1" x14ac:dyDescent="0.25">
      <c r="A17" s="9" t="s">
        <v>29</v>
      </c>
      <c r="B17" s="9" t="s">
        <v>30</v>
      </c>
      <c r="C17" s="10" t="s">
        <v>67</v>
      </c>
      <c r="D17" s="10" t="s">
        <v>68</v>
      </c>
      <c r="E17" s="10" t="s">
        <v>65</v>
      </c>
      <c r="F17" s="10" t="s">
        <v>65</v>
      </c>
      <c r="G17" s="10" t="s">
        <v>67</v>
      </c>
      <c r="H17" s="10" t="s">
        <v>67</v>
      </c>
      <c r="I17" s="10" t="s">
        <v>68</v>
      </c>
      <c r="J17" s="10" t="s">
        <v>66</v>
      </c>
      <c r="K17" s="10" t="s">
        <v>67</v>
      </c>
      <c r="L17" s="10" t="s">
        <v>67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75" customHeight="1" x14ac:dyDescent="0.25">
      <c r="A18" s="9" t="s">
        <v>62</v>
      </c>
      <c r="B18" s="9" t="s">
        <v>63</v>
      </c>
      <c r="C18" s="10" t="s">
        <v>65</v>
      </c>
      <c r="D18" s="10" t="s">
        <v>65</v>
      </c>
      <c r="E18" s="10" t="s">
        <v>65</v>
      </c>
      <c r="F18" s="10" t="s">
        <v>65</v>
      </c>
      <c r="G18" s="10" t="s">
        <v>67</v>
      </c>
      <c r="H18" s="10" t="s">
        <v>67</v>
      </c>
      <c r="I18" s="10" t="s">
        <v>68</v>
      </c>
      <c r="J18" s="10" t="s">
        <v>66</v>
      </c>
      <c r="K18" s="10" t="s">
        <v>65</v>
      </c>
      <c r="L18" s="10" t="s">
        <v>68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s="16" customFormat="1" ht="22.5" customHeight="1" x14ac:dyDescent="0.35">
      <c r="A19" s="22" t="s">
        <v>40</v>
      </c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2" t="s">
        <v>40</v>
      </c>
      <c r="M19" s="23"/>
      <c r="N19" s="23"/>
      <c r="O19" s="23"/>
      <c r="P19" s="23"/>
      <c r="Q19" s="23"/>
      <c r="R19" s="23"/>
      <c r="S19" s="23"/>
      <c r="T19" s="23"/>
      <c r="U19" s="23"/>
      <c r="V19" s="24"/>
    </row>
    <row r="20" spans="1:22" x14ac:dyDescent="0.25">
      <c r="A20" s="11" t="s">
        <v>5</v>
      </c>
      <c r="B20" s="11"/>
      <c r="C20" s="12">
        <f>IF(OR(C4="", C5="", C6=""), "", AVERAGE(VALUE(LEFT(C4,1)), VALUE(LEFT(C5,1)), VALUE(LEFT(C6,1))))</f>
        <v>2.3333333333333335</v>
      </c>
      <c r="D20" s="12">
        <f>IF(OR(D4="", D5="", D6=""), "", AVERAGE(VALUE(LEFT(D4,1)), VALUE(LEFT(D5,1)), VALUE(LEFT(D6,1))))</f>
        <v>4.666666666666667</v>
      </c>
      <c r="E20" s="12">
        <f t="shared" ref="E20:V20" si="0">IF(OR(E4="", E5="", E6=""), "", AVERAGE(VALUE(LEFT(E4,1)), VALUE(LEFT(E5,1)), VALUE(LEFT(E6,1))))</f>
        <v>3</v>
      </c>
      <c r="F20" s="12">
        <f t="shared" si="0"/>
        <v>3</v>
      </c>
      <c r="G20" s="12">
        <f t="shared" si="0"/>
        <v>3</v>
      </c>
      <c r="H20" s="12">
        <f t="shared" si="0"/>
        <v>3.3333333333333335</v>
      </c>
      <c r="I20" s="12">
        <f t="shared" si="0"/>
        <v>3.6666666666666665</v>
      </c>
      <c r="J20" s="12">
        <f t="shared" si="0"/>
        <v>3.6666666666666665</v>
      </c>
      <c r="K20" s="12">
        <f t="shared" si="0"/>
        <v>2.6666666666666665</v>
      </c>
      <c r="L20" s="12">
        <f t="shared" si="0"/>
        <v>4</v>
      </c>
      <c r="M20" s="12" t="str">
        <f t="shared" si="0"/>
        <v/>
      </c>
      <c r="N20" s="12" t="str">
        <f t="shared" si="0"/>
        <v/>
      </c>
      <c r="O20" s="12" t="str">
        <f t="shared" si="0"/>
        <v/>
      </c>
      <c r="P20" s="12" t="str">
        <f t="shared" si="0"/>
        <v/>
      </c>
      <c r="Q20" s="12" t="str">
        <f t="shared" si="0"/>
        <v/>
      </c>
      <c r="R20" s="12" t="str">
        <f t="shared" si="0"/>
        <v/>
      </c>
      <c r="S20" s="12" t="str">
        <f t="shared" si="0"/>
        <v/>
      </c>
      <c r="T20" s="12" t="str">
        <f t="shared" si="0"/>
        <v/>
      </c>
      <c r="U20" s="12" t="str">
        <f t="shared" si="0"/>
        <v/>
      </c>
      <c r="V20" s="12" t="str">
        <f t="shared" si="0"/>
        <v/>
      </c>
    </row>
    <row r="21" spans="1:22" x14ac:dyDescent="0.25">
      <c r="A21" s="11" t="s">
        <v>41</v>
      </c>
      <c r="B21" s="11"/>
      <c r="C21" s="11">
        <f>IF(OR(C8="", C9="", C10=""), "", AVERAGE(VALUE(LEFT(C8,1)), VALUE(LEFT(C9,1)), VALUE(LEFT(C10,1))))</f>
        <v>2.3333333333333335</v>
      </c>
      <c r="D21" s="11">
        <f t="shared" ref="D21:U21" si="1">IF(OR(D8="", D9="", D10=""), "", AVERAGE(VALUE(LEFT(D8,1)), VALUE(LEFT(D9,1)), VALUE(LEFT(D10,1))))</f>
        <v>3.3333333333333335</v>
      </c>
      <c r="E21" s="11">
        <f t="shared" si="1"/>
        <v>3.3333333333333335</v>
      </c>
      <c r="F21" s="11">
        <f t="shared" si="1"/>
        <v>3</v>
      </c>
      <c r="G21" s="11">
        <f t="shared" si="1"/>
        <v>4</v>
      </c>
      <c r="H21" s="11">
        <f t="shared" si="1"/>
        <v>4</v>
      </c>
      <c r="I21" s="11">
        <f t="shared" si="1"/>
        <v>5</v>
      </c>
      <c r="J21" s="11">
        <f t="shared" si="1"/>
        <v>3.6666666666666665</v>
      </c>
      <c r="K21" s="11">
        <f t="shared" si="1"/>
        <v>3.6666666666666665</v>
      </c>
      <c r="L21" s="11">
        <f t="shared" si="1"/>
        <v>4.333333333333333</v>
      </c>
      <c r="M21" s="11" t="str">
        <f t="shared" si="1"/>
        <v/>
      </c>
      <c r="N21" s="11" t="str">
        <f t="shared" si="1"/>
        <v/>
      </c>
      <c r="O21" s="11" t="str">
        <f t="shared" si="1"/>
        <v/>
      </c>
      <c r="P21" s="11" t="str">
        <f t="shared" si="1"/>
        <v/>
      </c>
      <c r="Q21" s="11" t="str">
        <f t="shared" si="1"/>
        <v/>
      </c>
      <c r="R21" s="11" t="str">
        <f t="shared" si="1"/>
        <v/>
      </c>
      <c r="S21" s="11" t="str">
        <f t="shared" si="1"/>
        <v/>
      </c>
      <c r="T21" s="11" t="str">
        <f t="shared" si="1"/>
        <v/>
      </c>
      <c r="U21" s="11" t="str">
        <f t="shared" si="1"/>
        <v/>
      </c>
      <c r="V21" s="11" t="str">
        <f>IF(OR(V8="", V9="", V10=""), "", AVERAGE(VALUE(LEFT(V8,1)), VALUE(LEFT(V9,1)), VALUE(LEFT(V10,1))))</f>
        <v/>
      </c>
    </row>
    <row r="22" spans="1:22" x14ac:dyDescent="0.25">
      <c r="A22" s="11" t="s">
        <v>42</v>
      </c>
      <c r="B22" s="11"/>
      <c r="C22" s="11">
        <f>IF(OR(C12="", C13="", C14=""), "", AVERAGE(VALUE(LEFT(C12,1)), VALUE(LEFT(C13,1)), VALUE(LEFT(C14,1))))</f>
        <v>3.3333333333333335</v>
      </c>
      <c r="D22" s="11">
        <f t="shared" ref="D22:V22" si="2">IF(OR(D12="", D13="", D14=""), "", AVERAGE(VALUE(LEFT(D12,1)), VALUE(LEFT(D13,1)), VALUE(LEFT(D14,1))))</f>
        <v>4.333333333333333</v>
      </c>
      <c r="E22" s="11">
        <f t="shared" si="2"/>
        <v>3.6666666666666665</v>
      </c>
      <c r="F22" s="11">
        <f t="shared" si="2"/>
        <v>4</v>
      </c>
      <c r="G22" s="11">
        <f t="shared" si="2"/>
        <v>3.3333333333333335</v>
      </c>
      <c r="H22" s="11">
        <f t="shared" si="2"/>
        <v>4.333333333333333</v>
      </c>
      <c r="I22" s="11">
        <f t="shared" si="2"/>
        <v>4.333333333333333</v>
      </c>
      <c r="J22" s="11">
        <f t="shared" si="2"/>
        <v>4</v>
      </c>
      <c r="K22" s="11">
        <f t="shared" si="2"/>
        <v>4</v>
      </c>
      <c r="L22" s="11">
        <f t="shared" si="2"/>
        <v>4.333333333333333</v>
      </c>
      <c r="M22" s="11" t="str">
        <f t="shared" si="2"/>
        <v/>
      </c>
      <c r="N22" s="11" t="str">
        <f t="shared" si="2"/>
        <v/>
      </c>
      <c r="O22" s="11" t="str">
        <f t="shared" si="2"/>
        <v/>
      </c>
      <c r="P22" s="11" t="str">
        <f t="shared" si="2"/>
        <v/>
      </c>
      <c r="Q22" s="11" t="str">
        <f t="shared" si="2"/>
        <v/>
      </c>
      <c r="R22" s="11" t="str">
        <f t="shared" si="2"/>
        <v/>
      </c>
      <c r="S22" s="11" t="str">
        <f t="shared" si="2"/>
        <v/>
      </c>
      <c r="T22" s="11" t="str">
        <f t="shared" si="2"/>
        <v/>
      </c>
      <c r="U22" s="11" t="str">
        <f t="shared" si="2"/>
        <v/>
      </c>
      <c r="V22" s="11" t="str">
        <f t="shared" si="2"/>
        <v/>
      </c>
    </row>
    <row r="23" spans="1:22" x14ac:dyDescent="0.25">
      <c r="A23" s="11" t="s">
        <v>26</v>
      </c>
      <c r="B23" s="11"/>
      <c r="C23" s="12">
        <f>IF(OR(C16="", C17="", C18=""), "", AVERAGE(VALUE(LEFT(C16,1)), VALUE(LEFT(C17,1)), VALUE(LEFT(C18,1))))</f>
        <v>4</v>
      </c>
      <c r="D23" s="12">
        <f t="shared" ref="D23:V23" si="3">IF(OR(D16="", D17="", D18=""), "", AVERAGE(VALUE(LEFT(D16,1)), VALUE(LEFT(D17,1)), VALUE(LEFT(D18,1))))</f>
        <v>4.333333333333333</v>
      </c>
      <c r="E23" s="12">
        <f t="shared" si="3"/>
        <v>3.3333333333333335</v>
      </c>
      <c r="F23" s="12">
        <f t="shared" si="3"/>
        <v>3.3333333333333335</v>
      </c>
      <c r="G23" s="12">
        <f t="shared" si="3"/>
        <v>4</v>
      </c>
      <c r="H23" s="12">
        <f t="shared" si="3"/>
        <v>4</v>
      </c>
      <c r="I23" s="12">
        <f t="shared" si="3"/>
        <v>5</v>
      </c>
      <c r="J23" s="12">
        <f t="shared" si="3"/>
        <v>2.6666666666666665</v>
      </c>
      <c r="K23" s="12">
        <f t="shared" si="3"/>
        <v>4</v>
      </c>
      <c r="L23" s="12">
        <f t="shared" si="3"/>
        <v>4.333333333333333</v>
      </c>
      <c r="M23" s="12" t="str">
        <f t="shared" si="3"/>
        <v/>
      </c>
      <c r="N23" s="12" t="str">
        <f t="shared" si="3"/>
        <v/>
      </c>
      <c r="O23" s="12" t="str">
        <f t="shared" si="3"/>
        <v/>
      </c>
      <c r="P23" s="12" t="str">
        <f t="shared" si="3"/>
        <v/>
      </c>
      <c r="Q23" s="12" t="str">
        <f t="shared" si="3"/>
        <v/>
      </c>
      <c r="R23" s="12" t="str">
        <f t="shared" si="3"/>
        <v/>
      </c>
      <c r="S23" s="12" t="str">
        <f t="shared" si="3"/>
        <v/>
      </c>
      <c r="T23" s="12" t="str">
        <f t="shared" si="3"/>
        <v/>
      </c>
      <c r="U23" s="12" t="str">
        <f t="shared" si="3"/>
        <v/>
      </c>
      <c r="V23" s="12" t="str">
        <f t="shared" si="3"/>
        <v/>
      </c>
    </row>
    <row r="24" spans="1:22" ht="23.5" x14ac:dyDescent="0.25">
      <c r="A24" s="13" t="s">
        <v>43</v>
      </c>
      <c r="B24" s="14"/>
      <c r="C24" s="15">
        <f>IF(COUNT(C20:C23)=0, "", AVERAGE(C20:C23))</f>
        <v>3</v>
      </c>
      <c r="D24" s="15">
        <f>IF(COUNT(D20:D23)=0, "", AVERAGE(D20:D23))</f>
        <v>4.1666666666666661</v>
      </c>
      <c r="E24" s="15">
        <f t="shared" ref="E24:V24" si="4">IF(COUNT(E20:E23)=0, "", AVERAGE(E20:E23))</f>
        <v>3.3333333333333335</v>
      </c>
      <c r="F24" s="15">
        <f t="shared" si="4"/>
        <v>3.3333333333333335</v>
      </c>
      <c r="G24" s="15">
        <f t="shared" si="4"/>
        <v>3.5833333333333335</v>
      </c>
      <c r="H24" s="15">
        <f t="shared" si="4"/>
        <v>3.916666666666667</v>
      </c>
      <c r="I24" s="15">
        <f t="shared" si="4"/>
        <v>4.5</v>
      </c>
      <c r="J24" s="15">
        <f t="shared" si="4"/>
        <v>3.4999999999999996</v>
      </c>
      <c r="K24" s="15">
        <f t="shared" si="4"/>
        <v>3.583333333333333</v>
      </c>
      <c r="L24" s="15">
        <f t="shared" si="4"/>
        <v>4.2499999999999991</v>
      </c>
      <c r="M24" s="15" t="str">
        <f t="shared" si="4"/>
        <v/>
      </c>
      <c r="N24" s="15" t="str">
        <f t="shared" si="4"/>
        <v/>
      </c>
      <c r="O24" s="15" t="str">
        <f t="shared" si="4"/>
        <v/>
      </c>
      <c r="P24" s="15" t="str">
        <f t="shared" si="4"/>
        <v/>
      </c>
      <c r="Q24" s="15" t="str">
        <f t="shared" si="4"/>
        <v/>
      </c>
      <c r="R24" s="15" t="str">
        <f t="shared" si="4"/>
        <v/>
      </c>
      <c r="S24" s="15" t="str">
        <f t="shared" si="4"/>
        <v/>
      </c>
      <c r="T24" s="15" t="str">
        <f t="shared" si="4"/>
        <v/>
      </c>
      <c r="U24" s="15" t="str">
        <f t="shared" si="4"/>
        <v/>
      </c>
      <c r="V24" s="15" t="str">
        <f t="shared" si="4"/>
        <v/>
      </c>
    </row>
  </sheetData>
  <mergeCells count="10">
    <mergeCell ref="A3:K3"/>
    <mergeCell ref="A7:K7"/>
    <mergeCell ref="A11:K11"/>
    <mergeCell ref="A15:K15"/>
    <mergeCell ref="A19:K19"/>
    <mergeCell ref="L3:V3"/>
    <mergeCell ref="L7:V7"/>
    <mergeCell ref="L11:V11"/>
    <mergeCell ref="L15:V15"/>
    <mergeCell ref="L19:V19"/>
  </mergeCells>
  <phoneticPr fontId="10" type="noConversion"/>
  <dataValidations count="1">
    <dataValidation type="list" showInputMessage="1" showErrorMessage="1" sqref="C4:V6 C8:V10 C12:V14 C16:V18" xr:uid="{45AE7263-9FC4-4E11-BBF9-D19A4275A337}">
      <formula1>"1 afwezig,2 zwak,3 gedeeltelijk,4 aanwezig,5 sterk aanwezig"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Scoreformulier Board</vt:lpstr>
    </vt:vector>
  </TitlesOfParts>
  <Company>Gemeente Rotterdam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Verschragen E.J.G. (Ernst)</dc:creator>
  <cp:lastModifiedBy>Hans de Voogd</cp:lastModifiedBy>
  <dcterms:created xsi:type="dcterms:W3CDTF">2025-06-19T07:51:46Z</dcterms:created>
  <dcterms:modified xsi:type="dcterms:W3CDTF">2025-07-09T09:51:52Z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871968-df67-4817-ac85-f4a5f5ebb5dd_Enabled">
    <vt:lpwstr>true</vt:lpwstr>
  </property>
  <property fmtid="{D5CDD505-2E9C-101B-9397-08002B2CF9AE}" pid="3" name="MSIP_Label_ea871968-df67-4817-ac85-f4a5f5ebb5dd_SetDate">
    <vt:lpwstr>2025-06-19T08:31:11Z</vt:lpwstr>
  </property>
  <property fmtid="{D5CDD505-2E9C-101B-9397-08002B2CF9AE}" pid="4" name="MSIP_Label_ea871968-df67-4817-ac85-f4a5f5ebb5dd_Method">
    <vt:lpwstr>Standard</vt:lpwstr>
  </property>
  <property fmtid="{D5CDD505-2E9C-101B-9397-08002B2CF9AE}" pid="5" name="MSIP_Label_ea871968-df67-4817-ac85-f4a5f5ebb5dd_Name">
    <vt:lpwstr>Bedrijfsvertrouwelijk</vt:lpwstr>
  </property>
  <property fmtid="{D5CDD505-2E9C-101B-9397-08002B2CF9AE}" pid="6" name="MSIP_Label_ea871968-df67-4817-ac85-f4a5f5ebb5dd_SiteId">
    <vt:lpwstr>49c4cd82-8f65-4d6a-9a3b-0ecd07c0cf5b</vt:lpwstr>
  </property>
  <property fmtid="{D5CDD505-2E9C-101B-9397-08002B2CF9AE}" pid="7" name="MSIP_Label_ea871968-df67-4817-ac85-f4a5f5ebb5dd_ActionId">
    <vt:lpwstr>eb705519-8ae2-4b8a-b92a-f76da0820137</vt:lpwstr>
  </property>
  <property fmtid="{D5CDD505-2E9C-101B-9397-08002B2CF9AE}" pid="8" name="MSIP_Label_ea871968-df67-4817-ac85-f4a5f5ebb5dd_ContentBits">
    <vt:lpwstr>0</vt:lpwstr>
  </property>
  <property fmtid="{D5CDD505-2E9C-101B-9397-08002B2CF9AE}" pid="9" name="MSIP_Label_8772ba27-cab8-4042-a351-a31f6e4eacdc_Enabled">
    <vt:lpwstr>true</vt:lpwstr>
  </property>
  <property fmtid="{D5CDD505-2E9C-101B-9397-08002B2CF9AE}" pid="10" name="MSIP_Label_8772ba27-cab8-4042-a351-a31f6e4eacdc_SetDate">
    <vt:lpwstr>2025-06-25T09:22:48Z</vt:lpwstr>
  </property>
  <property fmtid="{D5CDD505-2E9C-101B-9397-08002B2CF9AE}" pid="11" name="MSIP_Label_8772ba27-cab8-4042-a351-a31f6e4eacdc_Method">
    <vt:lpwstr>Standard</vt:lpwstr>
  </property>
  <property fmtid="{D5CDD505-2E9C-101B-9397-08002B2CF9AE}" pid="12" name="MSIP_Label_8772ba27-cab8-4042-a351-a31f6e4eacdc_Name">
    <vt:lpwstr>Internal</vt:lpwstr>
  </property>
  <property fmtid="{D5CDD505-2E9C-101B-9397-08002B2CF9AE}" pid="13" name="MSIP_Label_8772ba27-cab8-4042-a351-a31f6e4eacdc_SiteId">
    <vt:lpwstr>715902d6-f63e-4b8d-929b-4bb170bad492</vt:lpwstr>
  </property>
  <property fmtid="{D5CDD505-2E9C-101B-9397-08002B2CF9AE}" pid="14" name="MSIP_Label_8772ba27-cab8-4042-a351-a31f6e4eacdc_ActionId">
    <vt:lpwstr>98a49004-8273-467b-9884-73c424ac14d1</vt:lpwstr>
  </property>
  <property fmtid="{D5CDD505-2E9C-101B-9397-08002B2CF9AE}" pid="15" name="MSIP_Label_8772ba27-cab8-4042-a351-a31f6e4eacdc_ContentBits">
    <vt:lpwstr>0</vt:lpwstr>
  </property>
  <property fmtid="{D5CDD505-2E9C-101B-9397-08002B2CF9AE}" pid="16" name="MSIP_Label_8772ba27-cab8-4042-a351-a31f6e4eacdc_Tag">
    <vt:lpwstr>10, 3, 0, 1</vt:lpwstr>
  </property>
</Properties>
</file>