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otterdam.local\vdfs001\HOMEDIRECTORY\UserHome13\137948\Mijn Documenten\"/>
    </mc:Choice>
  </mc:AlternateContent>
  <xr:revisionPtr revIDLastSave="0" documentId="13_ncr:1_{391271C7-B697-4306-B21A-EC1226207CAA}" xr6:coauthVersionLast="47" xr6:coauthVersionMax="47" xr10:uidLastSave="{00000000-0000-0000-0000-000000000000}"/>
  <bookViews>
    <workbookView xWindow="-110" yWindow="-110" windowWidth="19420" windowHeight="12220" xr2:uid="{8533A3E5-55A2-4EDA-83BD-C9817308E89D}"/>
  </bookViews>
  <sheets>
    <sheet name="Scoreformulier 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24" i="3" l="1"/>
  <c r="J24" i="3"/>
  <c r="I24" i="3"/>
  <c r="H24" i="3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<sst xmlns="http://schemas.openxmlformats.org/spreadsheetml/2006/main" count="191" uniqueCount="67">
  <si>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</si>
  <si>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</si>
  <si>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</si>
  <si>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</si>
  <si>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</si>
  <si>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</si>
  <si>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</si>
  <si>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</si>
  <si>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</si>
  <si>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</si>
  <si>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</si>
  <si>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</si>
  <si>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</si>
  <si>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</si>
  <si>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</si>
  <si>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</si>
  <si>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</si>
  <si>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</si>
  <si>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</si>
  <si>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</si>
  <si>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</si>
  <si>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</si>
  <si>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</si>
  <si>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</si>
  <si>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</si>
  <si>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</si>
  <si>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</si>
  <si>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</si>
  <si>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</si>
  <si>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</si>
  <si>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</si>
  <si>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</si>
  <si>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</si>
  <si>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</si>
  <si>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</si>
  <si>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</si>
  <si>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</si>
  <si>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</si>
  <si>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</si>
  <si>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</si>
  <si>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</si>
  <si>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</si>
  <si>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</si>
  <si>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</si>
  <si>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</si>
  <si>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</si>
  <si>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</si>
  <si>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</si>
  <si>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</si>
  <si>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</si>
  <si>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</si>
  <si>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</si>
  <si>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</si>
  <si>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</si>
  <si>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</si>
  <si>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</si>
  <si>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</si>
  <si>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</si>
  <si>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</si>
  <si>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</si>
  <si>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</si>
  <si>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</si>
  <si>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</si>
  <si>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</si>
  <si>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4 aanwezig</t>
  </si>
  <si>
    <t>5 sterk aanwezig</t>
  </si>
  <si>
    <t>3 gedeeltelijk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</si>
</sst>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99-05F2-46B4-8496-F737E64E781C}">
  <dimension ref="A1:V24"/>
  <sheetViews>
    <sheetView tabSelected="1" zoomScale="90" zoomScaleNormal="90" workbookViewId="0">
      <pane ySplit="1" topLeftCell="A2" activePane="bottomLeft" state="frozen"/>
      <selection pane="bottomLeft" activeCell="D4" sqref="D4"/>
    </sheetView>
  </sheetViews>
  <sheetFormatPr defaultRowHeight="12.5" x14ac:dyDescent="0.25"/>
  <cols>
    <col min="1" max="11" width="20.54296875" customWidth="1"/>
    <col min="12" max="12" width="26.90625" customWidth="1"/>
    <col min="13" max="17" width="27" customWidth="1"/>
    <col min="18" max="22" width="33" customWidth="1"/>
  </cols>
  <sheetData>
    <row r="1" spans="1:22" ht="17.399999999999999" x14ac:dyDescent="0.25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 x14ac:dyDescent="0.25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 x14ac:dyDescent="0.3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 x14ac:dyDescent="0.25">
      <c r="A4" s="3" t="s">
        <v>6</v>
      </c>
      <c r="B4" s="3" t="s">
        <v>7</v>
      </c>
      <c r="C4" s="4" t="s">
        <v>64</v>
      </c>
      <c r="D4" s="4" t="s">
        <v>64</v>
      </c>
      <c r="E4" s="4" t="s">
        <v>64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64</v>
      </c>
      <c r="L4" s="4" t="s">
        <v>64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 x14ac:dyDescent="0.25">
      <c r="A5" s="3" t="s">
        <v>8</v>
      </c>
      <c r="B5" s="3" t="s">
        <v>9</v>
      </c>
      <c r="C5" s="4" t="s">
        <v>65</v>
      </c>
      <c r="D5" s="4" t="s">
        <v>65</v>
      </c>
      <c r="E5" s="4" t="s">
        <v>64</v>
      </c>
      <c r="F5" s="4" t="s">
        <v>64</v>
      </c>
      <c r="G5" s="4" t="s">
        <v>64</v>
      </c>
      <c r="H5" s="4" t="s">
        <v>64</v>
      </c>
      <c r="I5" s="4" t="s">
        <v>64</v>
      </c>
      <c r="J5" s="4" t="s">
        <v>64</v>
      </c>
      <c r="K5" s="4" t="s">
        <v>64</v>
      </c>
      <c r="L5" s="4" t="s">
        <v>65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 x14ac:dyDescent="0.25">
      <c r="A6" s="3" t="s">
        <v>10</v>
      </c>
      <c r="B6" s="3" t="s">
        <v>11</v>
      </c>
      <c r="C6" s="4" t="s">
        <v>65</v>
      </c>
      <c r="D6" s="4" t="s">
        <v>65</v>
      </c>
      <c r="E6" s="4" t="s">
        <v>65</v>
      </c>
      <c r="F6" s="4" t="s">
        <v>65</v>
      </c>
      <c r="G6" s="4" t="s">
        <v>65</v>
      </c>
      <c r="H6" s="4" t="s">
        <v>64</v>
      </c>
      <c r="I6" s="4" t="s">
        <v>64</v>
      </c>
      <c r="J6" s="4" t="s">
        <v>65</v>
      </c>
      <c r="K6" s="4" t="s">
        <v>64</v>
      </c>
      <c r="L6" s="4" t="s">
        <v>65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 x14ac:dyDescent="0.3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 x14ac:dyDescent="0.25">
      <c r="A8" s="5" t="s">
        <v>13</v>
      </c>
      <c r="B8" s="5" t="s">
        <v>14</v>
      </c>
      <c r="C8" s="6" t="s">
        <v>66</v>
      </c>
      <c r="D8" s="6" t="s">
        <v>66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 x14ac:dyDescent="0.25">
      <c r="A9" s="5" t="s">
        <v>15</v>
      </c>
      <c r="B9" s="5" t="s">
        <v>16</v>
      </c>
      <c r="C9" s="6" t="s">
        <v>65</v>
      </c>
      <c r="D9" s="6" t="s">
        <v>65</v>
      </c>
      <c r="E9" s="6" t="s">
        <v>65</v>
      </c>
      <c r="F9" s="6" t="s">
        <v>65</v>
      </c>
      <c r="G9" s="6" t="s">
        <v>65</v>
      </c>
      <c r="H9" s="6" t="s">
        <v>64</v>
      </c>
      <c r="I9" s="6" t="s">
        <v>64</v>
      </c>
      <c r="J9" s="6" t="s">
        <v>65</v>
      </c>
      <c r="K9" s="6" t="s">
        <v>64</v>
      </c>
      <c r="L9" s="6" t="s">
        <v>65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 x14ac:dyDescent="0.25">
      <c r="A10" s="5" t="s">
        <v>17</v>
      </c>
      <c r="B10" s="5" t="s">
        <v>18</v>
      </c>
      <c r="C10" s="6" t="s">
        <v>65</v>
      </c>
      <c r="D10" s="6" t="s">
        <v>65</v>
      </c>
      <c r="E10" s="6" t="s">
        <v>65</v>
      </c>
      <c r="F10" s="6" t="s">
        <v>65</v>
      </c>
      <c r="G10" s="6" t="s">
        <v>65</v>
      </c>
      <c r="H10" s="6" t="s">
        <v>64</v>
      </c>
      <c r="I10" s="6" t="s">
        <v>64</v>
      </c>
      <c r="J10" s="6" t="s">
        <v>65</v>
      </c>
      <c r="K10" s="6" t="s">
        <v>64</v>
      </c>
      <c r="L10" s="6" t="s">
        <v>64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 x14ac:dyDescent="0.35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 x14ac:dyDescent="0.25">
      <c r="A12" s="7" t="s">
        <v>20</v>
      </c>
      <c r="B12" s="7" t="s">
        <v>21</v>
      </c>
      <c r="C12" s="8" t="s">
        <v>65</v>
      </c>
      <c r="D12" s="8" t="s">
        <v>64</v>
      </c>
      <c r="E12" s="8" t="s">
        <v>64</v>
      </c>
      <c r="F12" s="8" t="s">
        <v>64</v>
      </c>
      <c r="G12" s="8" t="s">
        <v>64</v>
      </c>
      <c r="H12" s="8" t="s">
        <v>64</v>
      </c>
      <c r="I12" s="8" t="s">
        <v>64</v>
      </c>
      <c r="J12" s="8" t="s">
        <v>64</v>
      </c>
      <c r="K12" s="8" t="s">
        <v>64</v>
      </c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 x14ac:dyDescent="0.25">
      <c r="A13" s="7" t="s">
        <v>22</v>
      </c>
      <c r="B13" s="7" t="s">
        <v>23</v>
      </c>
      <c r="C13" s="8" t="s">
        <v>65</v>
      </c>
      <c r="D13" s="8" t="s">
        <v>65</v>
      </c>
      <c r="E13" s="8" t="s">
        <v>65</v>
      </c>
      <c r="F13" s="8" t="s">
        <v>65</v>
      </c>
      <c r="G13" s="8" t="s">
        <v>65</v>
      </c>
      <c r="H13" s="8" t="s">
        <v>64</v>
      </c>
      <c r="I13" s="8" t="s">
        <v>64</v>
      </c>
      <c r="J13" s="8" t="s">
        <v>65</v>
      </c>
      <c r="K13" s="8" t="s">
        <v>64</v>
      </c>
      <c r="L13" s="8" t="s">
        <v>65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 x14ac:dyDescent="0.25">
      <c r="A14" s="7" t="s">
        <v>24</v>
      </c>
      <c r="B14" s="7" t="s">
        <v>25</v>
      </c>
      <c r="C14" s="8" t="s">
        <v>64</v>
      </c>
      <c r="D14" s="8" t="s">
        <v>65</v>
      </c>
      <c r="E14" s="8" t="s">
        <v>64</v>
      </c>
      <c r="F14" s="8" t="s">
        <v>64</v>
      </c>
      <c r="G14" s="8" t="s">
        <v>64</v>
      </c>
      <c r="H14" s="8" t="s">
        <v>64</v>
      </c>
      <c r="I14" s="8" t="s">
        <v>64</v>
      </c>
      <c r="J14" s="8" t="s">
        <v>65</v>
      </c>
      <c r="K14" s="8" t="s">
        <v>64</v>
      </c>
      <c r="L14" s="8" t="s">
        <v>65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 x14ac:dyDescent="0.3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 x14ac:dyDescent="0.25">
      <c r="A16" s="9" t="s">
        <v>27</v>
      </c>
      <c r="B16" s="9" t="s">
        <v>28</v>
      </c>
      <c r="C16" s="10" t="s">
        <v>65</v>
      </c>
      <c r="D16" s="10" t="s">
        <v>65</v>
      </c>
      <c r="E16" s="10" t="s">
        <v>65</v>
      </c>
      <c r="F16" s="10" t="s">
        <v>65</v>
      </c>
      <c r="G16" s="10" t="s">
        <v>65</v>
      </c>
      <c r="H16" s="10" t="s">
        <v>64</v>
      </c>
      <c r="I16" s="10" t="s">
        <v>64</v>
      </c>
      <c r="J16" s="10" t="s">
        <v>65</v>
      </c>
      <c r="K16" s="10" t="s">
        <v>64</v>
      </c>
      <c r="L16" s="10" t="s">
        <v>65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 x14ac:dyDescent="0.25">
      <c r="A17" s="9" t="s">
        <v>29</v>
      </c>
      <c r="B17" s="9" t="s">
        <v>30</v>
      </c>
      <c r="C17" s="10" t="s">
        <v>65</v>
      </c>
      <c r="D17" s="10" t="s">
        <v>65</v>
      </c>
      <c r="E17" s="10" t="s">
        <v>65</v>
      </c>
      <c r="F17" s="10" t="s">
        <v>65</v>
      </c>
      <c r="G17" s="10" t="s">
        <v>65</v>
      </c>
      <c r="H17" s="10" t="s">
        <v>64</v>
      </c>
      <c r="I17" s="10" t="s">
        <v>64</v>
      </c>
      <c r="J17" s="10" t="s">
        <v>65</v>
      </c>
      <c r="K17" s="10" t="s">
        <v>64</v>
      </c>
      <c r="L17" s="10" t="s">
        <v>65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 x14ac:dyDescent="0.25">
      <c r="A18" s="9" t="s">
        <v>62</v>
      </c>
      <c r="B18" s="9" t="s">
        <v>63</v>
      </c>
      <c r="C18" s="10" t="s">
        <v>64</v>
      </c>
      <c r="D18" s="10" t="s">
        <v>64</v>
      </c>
      <c r="E18" s="10" t="s">
        <v>64</v>
      </c>
      <c r="F18" s="10" t="s">
        <v>64</v>
      </c>
      <c r="G18" s="10" t="s">
        <v>64</v>
      </c>
      <c r="H18" s="10" t="s">
        <v>64</v>
      </c>
      <c r="I18" s="10" t="s">
        <v>64</v>
      </c>
      <c r="J18" s="10" t="s">
        <v>64</v>
      </c>
      <c r="K18" s="10" t="s">
        <v>64</v>
      </c>
      <c r="L18" s="10" t="s">
        <v>64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 x14ac:dyDescent="0.3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 ht="13.25" x14ac:dyDescent="0.25">
      <c r="A20" s="11" t="s">
        <v>5</v>
      </c>
      <c r="B20" s="11"/>
      <c r="C20" s="12">
        <f>IF(OR(C4="", C5="", C6=""), "", AVERAGE(VALUE(LEFT(C4,1)), VALUE(LEFT(C5,1)), VALUE(LEFT(C6,1))))</f>
        <v>4.666666666666667</v>
      </c>
      <c r="D20" s="12">
        <f>IF(OR(D4="", D5="", D6=""), "", AVERAGE(VALUE(LEFT(D4,1)), VALUE(LEFT(D5,1)), VALUE(LEFT(D6,1))))</f>
        <v>4.666666666666667</v>
      </c>
      <c r="E20" s="12">
        <f t="shared" ref="E20:V20" si="0">IF(OR(E4="", E5="", E6=""), "", AVERAGE(VALUE(LEFT(E4,1)), VALUE(LEFT(E5,1)), VALUE(LEFT(E6,1))))</f>
        <v>4.333333333333333</v>
      </c>
      <c r="F20" s="12">
        <f t="shared" si="0"/>
        <v>4.333333333333333</v>
      </c>
      <c r="G20" s="12">
        <f t="shared" si="0"/>
        <v>4.333333333333333</v>
      </c>
      <c r="H20" s="12">
        <f t="shared" si="0"/>
        <v>4</v>
      </c>
      <c r="I20" s="12">
        <f t="shared" si="0"/>
        <v>4</v>
      </c>
      <c r="J20" s="12">
        <f t="shared" si="0"/>
        <v>4.333333333333333</v>
      </c>
      <c r="K20" s="12">
        <f t="shared" si="0"/>
        <v>4</v>
      </c>
      <c r="L20" s="12">
        <f t="shared" si="0"/>
        <v>4.666666666666667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 ht="13.25" x14ac:dyDescent="0.25">
      <c r="A21" s="11" t="s">
        <v>41</v>
      </c>
      <c r="B21" s="11"/>
      <c r="C21" s="11">
        <f>IF(OR(C8="", C9="", C10=""), "", AVERAGE(VALUE(LEFT(C8,1)), VALUE(LEFT(C9,1)), VALUE(LEFT(C10,1))))</f>
        <v>4.333333333333333</v>
      </c>
      <c r="D21" s="11">
        <f t="shared" ref="D21:U21" si="1">IF(OR(D8="", D9="", D10=""), "", AVERAGE(VALUE(LEFT(D8,1)), VALUE(LEFT(D9,1)), VALUE(LEFT(D10,1))))</f>
        <v>4.333333333333333</v>
      </c>
      <c r="E21" s="11">
        <f t="shared" si="1"/>
        <v>5</v>
      </c>
      <c r="F21" s="11">
        <f t="shared" si="1"/>
        <v>5</v>
      </c>
      <c r="G21" s="11">
        <f t="shared" si="1"/>
        <v>5</v>
      </c>
      <c r="H21" s="11">
        <f t="shared" si="1"/>
        <v>4.333333333333333</v>
      </c>
      <c r="I21" s="11">
        <f t="shared" si="1"/>
        <v>4.333333333333333</v>
      </c>
      <c r="J21" s="11">
        <f t="shared" si="1"/>
        <v>5</v>
      </c>
      <c r="K21" s="11">
        <f t="shared" si="1"/>
        <v>4.333333333333333</v>
      </c>
      <c r="L21" s="11">
        <f t="shared" si="1"/>
        <v>4.666666666666667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 ht="13.25" x14ac:dyDescent="0.25">
      <c r="A22" s="11" t="s">
        <v>42</v>
      </c>
      <c r="B22" s="11"/>
      <c r="C22" s="11">
        <f>IF(OR(C12="", C13="", C14=""), "", AVERAGE(VALUE(LEFT(C12,1)), VALUE(LEFT(C13,1)), VALUE(LEFT(C14,1))))</f>
        <v>4.666666666666667</v>
      </c>
      <c r="D22" s="11">
        <f t="shared" ref="D22:V22" si="2">IF(OR(D12="", D13="", D14=""), "", AVERAGE(VALUE(LEFT(D12,1)), VALUE(LEFT(D13,1)), VALUE(LEFT(D14,1))))</f>
        <v>4.666666666666667</v>
      </c>
      <c r="E22" s="11">
        <f t="shared" si="2"/>
        <v>4.333333333333333</v>
      </c>
      <c r="F22" s="11">
        <f t="shared" si="2"/>
        <v>4.333333333333333</v>
      </c>
      <c r="G22" s="11">
        <f t="shared" si="2"/>
        <v>4.333333333333333</v>
      </c>
      <c r="H22" s="11">
        <f t="shared" si="2"/>
        <v>4</v>
      </c>
      <c r="I22" s="11">
        <f t="shared" si="2"/>
        <v>4</v>
      </c>
      <c r="J22" s="11">
        <f t="shared" si="2"/>
        <v>4.666666666666667</v>
      </c>
      <c r="K22" s="11">
        <f t="shared" si="2"/>
        <v>4</v>
      </c>
      <c r="L22" s="11">
        <f t="shared" si="2"/>
        <v>4.666666666666667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 x14ac:dyDescent="0.25">
      <c r="A23" s="11" t="s">
        <v>26</v>
      </c>
      <c r="B23" s="11"/>
      <c r="C23" s="12">
        <f>IF(OR(C16="", C17="", C18=""), "", AVERAGE(VALUE(LEFT(C16,1)), VALUE(LEFT(C17,1)), VALUE(LEFT(C18,1))))</f>
        <v>4.666666666666667</v>
      </c>
      <c r="D23" s="12">
        <f t="shared" ref="D23:V23" si="3">IF(OR(D16="", D17="", D18=""), "", AVERAGE(VALUE(LEFT(D16,1)), VALUE(LEFT(D17,1)), VALUE(LEFT(D18,1))))</f>
        <v>4.666666666666667</v>
      </c>
      <c r="E23" s="12">
        <f t="shared" si="3"/>
        <v>4.666666666666667</v>
      </c>
      <c r="F23" s="12">
        <f t="shared" si="3"/>
        <v>4.666666666666667</v>
      </c>
      <c r="G23" s="12">
        <f t="shared" si="3"/>
        <v>4.666666666666667</v>
      </c>
      <c r="H23" s="12">
        <f t="shared" si="3"/>
        <v>4</v>
      </c>
      <c r="I23" s="12">
        <f t="shared" si="3"/>
        <v>4</v>
      </c>
      <c r="J23" s="12">
        <f t="shared" si="3"/>
        <v>4.666666666666667</v>
      </c>
      <c r="K23" s="12">
        <f t="shared" si="3"/>
        <v>4</v>
      </c>
      <c r="L23" s="12">
        <f t="shared" si="3"/>
        <v>4.666666666666667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3.5" x14ac:dyDescent="0.25">
      <c r="A24" s="13" t="s">
        <v>43</v>
      </c>
      <c r="B24" s="14"/>
      <c r="C24" s="15">
        <f>IF(COUNT(C20:C23)=0, "", AVERAGE(C20:C23))</f>
        <v>4.5833333333333339</v>
      </c>
      <c r="D24" s="15">
        <f>IF(COUNT(D20:D23)=0, "", AVERAGE(D20:D23))</f>
        <v>4.5833333333333339</v>
      </c>
      <c r="E24" s="15">
        <f t="shared" ref="E24:V24" si="4">IF(COUNT(E20:E23)=0, "", AVERAGE(E20:E23))</f>
        <v>4.583333333333333</v>
      </c>
      <c r="F24" s="15">
        <f t="shared" si="4"/>
        <v>4.583333333333333</v>
      </c>
      <c r="G24" s="15">
        <f t="shared" si="4"/>
        <v>4.583333333333333</v>
      </c>
      <c r="H24" s="15">
        <f t="shared" si="4"/>
        <v>4.083333333333333</v>
      </c>
      <c r="I24" s="15">
        <f t="shared" si="4"/>
        <v>4.083333333333333</v>
      </c>
      <c r="J24" s="15">
        <f t="shared" si="4"/>
        <v>4.666666666666667</v>
      </c>
      <c r="K24" s="15">
        <f t="shared" si="4"/>
        <v>4.083333333333333</v>
      </c>
      <c r="L24" s="15">
        <f t="shared" si="4"/>
        <v>4.666666666666667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L3:V3"/>
    <mergeCell ref="L7:V7"/>
    <mergeCell ref="L11:V11"/>
    <mergeCell ref="L15:V15"/>
    <mergeCell ref="L19:V19"/>
    <mergeCell ref="A3:K3"/>
    <mergeCell ref="A7:K7"/>
    <mergeCell ref="A11:K11"/>
    <mergeCell ref="A15:K15"/>
    <mergeCell ref="A19:K19"/>
  </mergeCells>
  <phoneticPr fontId="10" type="noConversion"/>
  <dataValidations count="1">
    <dataValidation type="list" showInputMessage="1" showErrorMessage="1" sqref="C4:V6 C8:V10 C12:V14 C16:V18" xr:uid="{45AE7263-9FC4-4E11-BBF9-D19A4275A337}">
      <formula1>"1 afwezig,2 zwak,3 gedeeltelijk,4 aanwezig,5 sterk aanwezig"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Hoof M.P. van (Monique)</cp:lastModifiedBy>
  <dcterms:created xsi:type="dcterms:W3CDTF">2025-06-19T07:51:46Z</dcterms:created>
  <dcterms:modified xsi:type="dcterms:W3CDTF">2025-07-07T18:48:43Z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